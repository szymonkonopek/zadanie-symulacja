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ałożenia" sheetId="1" state="visible" r:id="rId1"/>
    <sheet name="z" sheetId="2" state="visible" r:id="rId2"/>
    <sheet name="o" sheetId="3" state="visible" r:id="rId3"/>
    <sheet name="ca" sheetId="4" state="visible" r:id="rId4"/>
    <sheet name="cb" sheetId="5" state="visible" r:id="rId5"/>
    <sheet name="pch" sheetId="6" state="visible" r:id="rId6"/>
    <sheet name="r_st" sheetId="7" state="visible" r:id="rId7"/>
    <sheet name="m_st" sheetId="8" state="visible" r:id="rId8"/>
    <sheet name="pca" sheetId="9" state="visible" r:id="rId9"/>
    <sheet name="pu" sheetId="10" state="visible" r:id="rId10"/>
    <sheet name="urodz" sheetId="11" state="visible" r:id="rId11"/>
    <sheet name="urodz_ch" sheetId="12" state="visible" r:id="rId12"/>
    <sheet name="nat_z" sheetId="13" state="visible" r:id="rId13"/>
    <sheet name="nat_o" sheetId="14" state="visible" r:id="rId14"/>
    <sheet name="nat_ca" sheetId="15" state="visible" r:id="rId15"/>
    <sheet name="nat_cb" sheetId="16" state="visible" r:id="rId16"/>
    <sheet name="Wyniki" sheetId="17" state="visible" r:id="rId17"/>
    <sheet name="MonteCarlo" sheetId="18" state="visible" r:id="rId18"/>
  </sheets>
  <definedNames>
    <definedName name="T_max">'Założenia'!$B$2</definedName>
    <definedName name="A_max">'Założenia'!$B$3</definedName>
    <definedName name="mu_r_24">'Założenia'!$B$7</definedName>
    <definedName name="sig_r_24">'Założenia'!$C$7</definedName>
    <definedName name="mu_r_5p">'Założenia'!$B$8</definedName>
    <definedName name="sig_r_5p">'Założenia'!$C$8</definedName>
    <definedName name="mu_m_13">'Założenia'!$B$12</definedName>
    <definedName name="sig_m_13">'Założenia'!$C$12</definedName>
    <definedName name="mu_m_45">'Założenia'!$B$13</definedName>
    <definedName name="sig_m_45">'Założenia'!$C$13</definedName>
    <definedName name="mu_m_6p">'Założenia'!$B$14</definedName>
    <definedName name="sig_m_6p">'Założenia'!$C$14</definedName>
    <definedName name="h_nat_tbl">'Założenia'!$A$18:$B$27</definedName>
    <definedName name="res_zywe_t30">'Wyniki'!$G$32</definedName>
    <definedName name="res_zgony_t30">'Wyniki'!$I$32</definedName>
    <definedName name="res_peak">'Wyniki'!$B$37</definedName>
    <definedName name="res_peak_t">'Wyniki'!$B$38</definedName>
    <definedName name="res_urodz">'Wyniki'!$B$39</definedName>
    <definedName name="res_wiek_t30">'Wyniki'!$K$32</definedName>
    <definedName name="res_wymarcie">'Wyniki'!$B$42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Przebieg epidemii (pojedyncza trajektoria)</a:t>
            </a:r>
          </a:p>
        </rich>
      </tx>
    </title>
    <plotArea>
      <lineChart>
        <grouping val="standard"/>
        <ser>
          <idx val="0"/>
          <order val="0"/>
          <tx>
            <strRef>
              <f>'Wyniki'!B1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'Wyniki'!$A$2:$A$32</f>
            </numRef>
          </cat>
          <val>
            <numRef>
              <f>'Wyniki'!$B$2:$B$32</f>
            </numRef>
          </val>
        </ser>
        <ser>
          <idx val="1"/>
          <order val="1"/>
          <tx>
            <strRef>
              <f>'Wyniki'!C1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'Wyniki'!$A$2:$A$32</f>
            </numRef>
          </cat>
          <val>
            <numRef>
              <f>'Wyniki'!$C$2:$C$32</f>
            </numRef>
          </val>
        </ser>
        <ser>
          <idx val="2"/>
          <order val="2"/>
          <tx>
            <strRef>
              <f>'Wyniki'!D1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'Wyniki'!$A$2:$A$32</f>
            </numRef>
          </cat>
          <val>
            <numRef>
              <f>'Wyniki'!$D$2:$D$32</f>
            </numRef>
          </val>
        </ser>
        <ser>
          <idx val="3"/>
          <order val="3"/>
          <tx>
            <strRef>
              <f>'Wyniki'!E1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'Wyniki'!$A$2:$A$32</f>
            </numRef>
          </cat>
          <val>
            <numRef>
              <f>'Wyniki'!$E$2:$E$32</f>
            </numRef>
          </val>
        </ser>
        <ser>
          <idx val="4"/>
          <order val="4"/>
          <tx>
            <strRef>
              <f>'Wyniki'!F1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'Wyniki'!$A$2:$A$32</f>
            </numRef>
          </cat>
          <val>
            <numRef>
              <f>'Wyniki'!$F$2:$F$32</f>
            </numRef>
          </val>
        </ser>
        <ser>
          <idx val="5"/>
          <order val="5"/>
          <tx>
            <strRef>
              <f>'Wyniki'!G1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'Wyniki'!$A$2:$A$32</f>
            </numRef>
          </cat>
          <val>
            <numRef>
              <f>'Wyniki'!$G$2:$G$32</f>
            </numRef>
          </val>
        </ser>
        <ser>
          <idx val="6"/>
          <order val="6"/>
          <tx>
            <strRef>
              <f>'Wyniki'!I1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'Wyniki'!$I$2:$I$32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 (u.j.c.)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Liczba zwierząt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Parametr</t>
        </is>
      </c>
      <c r="B1" s="1" t="inlineStr">
        <is>
          <t>Wartość</t>
        </is>
      </c>
    </row>
    <row r="2">
      <c r="A2" t="inlineStr">
        <is>
          <t>T_max (liczba kroków)</t>
        </is>
      </c>
      <c r="B2" t="n">
        <v>30</v>
      </c>
    </row>
    <row r="3">
      <c r="A3" t="inlineStr">
        <is>
          <t>A_max (kohorty wiekowe)</t>
        </is>
      </c>
      <c r="B3" t="n">
        <v>10</v>
      </c>
    </row>
    <row r="5">
      <c r="A5" s="2" t="inlineStr">
        <is>
          <t>Stopa urodzeń ~ Normal(μ, σ)</t>
        </is>
      </c>
    </row>
    <row r="6">
      <c r="A6" s="1" t="inlineStr">
        <is>
          <t>Pasmo wieku</t>
        </is>
      </c>
      <c r="B6" s="1" t="inlineStr">
        <is>
          <t>μ</t>
        </is>
      </c>
      <c r="C6" s="1" t="inlineStr">
        <is>
          <t>σ</t>
        </is>
      </c>
    </row>
    <row r="7">
      <c r="A7" t="inlineStr">
        <is>
          <t>2–4 u.j.c.</t>
        </is>
      </c>
      <c r="B7" t="n">
        <v>0.15</v>
      </c>
      <c r="C7" t="n">
        <v>0.02</v>
      </c>
    </row>
    <row r="8">
      <c r="A8" t="inlineStr">
        <is>
          <t>5+ u.j.c.</t>
        </is>
      </c>
      <c r="B8" t="n">
        <v>0.1</v>
      </c>
      <c r="C8" t="n">
        <v>0.01</v>
      </c>
    </row>
    <row r="10">
      <c r="A10" s="2" t="inlineStr">
        <is>
          <t>Śmiertelność choroby ~ Normal(μ, σ)</t>
        </is>
      </c>
    </row>
    <row r="11">
      <c r="A11" s="1" t="inlineStr">
        <is>
          <t>Pasmo wieku</t>
        </is>
      </c>
      <c r="B11" s="1" t="inlineStr">
        <is>
          <t>μ</t>
        </is>
      </c>
      <c r="C11" s="1" t="inlineStr">
        <is>
          <t>σ</t>
        </is>
      </c>
    </row>
    <row r="12">
      <c r="A12" t="inlineStr">
        <is>
          <t>1–3 u.j.c.</t>
        </is>
      </c>
      <c r="B12" t="n">
        <v>0.2</v>
      </c>
      <c r="C12" t="n">
        <v>0.05</v>
      </c>
    </row>
    <row r="13">
      <c r="A13" t="inlineStr">
        <is>
          <t>4–5 u.j.c.</t>
        </is>
      </c>
      <c r="B13" t="n">
        <v>0.3</v>
      </c>
      <c r="C13" t="n">
        <v>0.07000000000000001</v>
      </c>
    </row>
    <row r="14">
      <c r="A14" t="inlineStr">
        <is>
          <t>6+ u.j.c.</t>
        </is>
      </c>
      <c r="B14" t="n">
        <v>0.5</v>
      </c>
      <c r="C14" t="n">
        <v>0.15</v>
      </c>
    </row>
    <row r="16">
      <c r="A16" s="2" t="inlineStr">
        <is>
          <t>Naturalna śmiertelność (hazard z N(6, 1))</t>
        </is>
      </c>
    </row>
    <row r="17">
      <c r="A17" s="1" t="inlineStr">
        <is>
          <t>wiek a</t>
        </is>
      </c>
      <c r="B17" s="1" t="inlineStr">
        <is>
          <t>h_nat(a)</t>
        </is>
      </c>
    </row>
    <row r="18">
      <c r="A18" t="n">
        <v>1</v>
      </c>
      <c r="B18" t="n">
        <v>0</v>
      </c>
    </row>
    <row r="19">
      <c r="A19" t="n">
        <v>2</v>
      </c>
      <c r="B19" t="n">
        <v>3.1e-05</v>
      </c>
    </row>
    <row r="20">
      <c r="A20" t="n">
        <v>3</v>
      </c>
      <c r="B20" t="n">
        <v>0.001318</v>
      </c>
    </row>
    <row r="21">
      <c r="A21" t="n">
        <v>4</v>
      </c>
      <c r="B21" t="n">
        <v>0.021429</v>
      </c>
    </row>
    <row r="22">
      <c r="A22" t="n">
        <v>5</v>
      </c>
      <c r="B22" t="n">
        <v>0.139069</v>
      </c>
    </row>
    <row r="23">
      <c r="A23" t="n">
        <v>6</v>
      </c>
      <c r="B23" t="n">
        <v>0.405713</v>
      </c>
    </row>
    <row r="24">
      <c r="A24" t="n">
        <v>7</v>
      </c>
      <c r="B24" t="n">
        <v>0.682689</v>
      </c>
    </row>
    <row r="25">
      <c r="A25" t="n">
        <v>8</v>
      </c>
      <c r="B25" t="n">
        <v>0.856607</v>
      </c>
    </row>
    <row r="26">
      <c r="A26" t="n">
        <v>9</v>
      </c>
      <c r="B26" t="n">
        <v>0.9406639999999999</v>
      </c>
    </row>
    <row r="27">
      <c r="A27" t="n">
        <v>10</v>
      </c>
      <c r="B27" t="n">
        <v>1</v>
      </c>
    </row>
    <row r="30">
      <c r="A30" s="2" t="inlineStr">
        <is>
          <t>Stan początkowy (t=0)</t>
        </is>
      </c>
    </row>
    <row r="31">
      <c r="A31" s="1" t="inlineStr">
        <is>
          <t>wiek a</t>
        </is>
      </c>
      <c r="B31" s="1" t="inlineStr">
        <is>
          <t>z</t>
        </is>
      </c>
      <c r="C31" s="1" t="inlineStr">
        <is>
          <t>o</t>
        </is>
      </c>
      <c r="D31" s="1" t="inlineStr">
        <is>
          <t>ca</t>
        </is>
      </c>
      <c r="E31" s="1" t="inlineStr">
        <is>
          <t>cb</t>
        </is>
      </c>
    </row>
    <row r="32">
      <c r="A32" t="n">
        <v>1</v>
      </c>
      <c r="B32" t="n">
        <v>60</v>
      </c>
      <c r="C32" t="n">
        <v>20</v>
      </c>
      <c r="D32" t="n">
        <v>10</v>
      </c>
      <c r="E32" t="n">
        <v>10</v>
      </c>
    </row>
    <row r="33">
      <c r="A33" t="n">
        <v>2</v>
      </c>
      <c r="B33" t="n">
        <v>60</v>
      </c>
      <c r="C33" t="n">
        <v>30</v>
      </c>
      <c r="D33" t="n">
        <v>10</v>
      </c>
      <c r="E33" t="n">
        <v>20</v>
      </c>
    </row>
    <row r="34">
      <c r="A34" t="n">
        <v>3</v>
      </c>
      <c r="B34" t="n">
        <v>70</v>
      </c>
      <c r="C34" t="n">
        <v>10</v>
      </c>
      <c r="D34" t="n">
        <v>5</v>
      </c>
      <c r="E34" t="n">
        <v>10</v>
      </c>
    </row>
    <row r="35">
      <c r="A35" t="n">
        <v>4</v>
      </c>
      <c r="B35" t="n">
        <v>60</v>
      </c>
      <c r="C35" t="n">
        <v>10</v>
      </c>
      <c r="D35" t="n">
        <v>10</v>
      </c>
      <c r="E35" t="n">
        <v>5</v>
      </c>
    </row>
    <row r="36">
      <c r="A36" t="n">
        <v>5</v>
      </c>
      <c r="B36" t="n">
        <v>20</v>
      </c>
      <c r="C36" t="n">
        <v>20</v>
      </c>
      <c r="D36" t="n">
        <v>7</v>
      </c>
      <c r="E36" t="n">
        <v>3</v>
      </c>
    </row>
    <row r="37">
      <c r="A37" t="n">
        <v>6</v>
      </c>
      <c r="B37" t="n">
        <v>10</v>
      </c>
      <c r="C37" t="n">
        <v>5</v>
      </c>
      <c r="D37" t="n">
        <v>6</v>
      </c>
      <c r="E37" t="n">
        <v>4</v>
      </c>
    </row>
    <row r="38">
      <c r="A38" t="n">
        <v>7</v>
      </c>
      <c r="B38" t="n">
        <v>10</v>
      </c>
      <c r="C38" t="n">
        <v>0</v>
      </c>
      <c r="D38" t="n">
        <v>0</v>
      </c>
      <c r="E38" t="n">
        <v>3</v>
      </c>
    </row>
    <row r="39">
      <c r="A39" t="n">
        <v>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10</v>
      </c>
      <c r="B41" t="n">
        <v>0</v>
      </c>
      <c r="C41" t="n">
        <v>0</v>
      </c>
      <c r="D41" t="n">
        <v>0</v>
      </c>
      <c r="E41" t="n">
        <v>0</v>
      </c>
    </row>
    <row r="42">
      <c r="A42" s="1" t="inlineStr">
        <is>
          <t>Σ</t>
        </is>
      </c>
      <c r="B42">
        <f>SUM(B32:B41)</f>
        <v/>
      </c>
      <c r="C42">
        <f>SUM(C32:C41)</f>
        <v/>
      </c>
      <c r="D42">
        <f>SUM(D32:D41)</f>
        <v/>
      </c>
      <c r="E42">
        <f>SUM(E32:E41)</f>
        <v/>
      </c>
    </row>
    <row r="43">
      <c r="A43" t="inlineStr">
        <is>
          <t>Razem populacja</t>
        </is>
      </c>
      <c r="B43" s="3">
        <f>SUM(B32:E41)</f>
        <v/>
      </c>
    </row>
    <row r="46">
      <c r="A46" s="2" t="inlineStr">
        <is>
          <t>Kolejność operacji w kroku t → t+1</t>
        </is>
      </c>
    </row>
    <row r="47">
      <c r="A47" t="inlineStr">
        <is>
          <t>1. Wyznacz pch(t) = (Σ ca + Σ cb) / Σ żywych  (stan początku kroku).</t>
        </is>
      </c>
    </row>
    <row r="48">
      <c r="A48" t="inlineStr">
        <is>
          <t>2. Wylosuj nowe zarażenia per kohorta:  pca(a, t+1) ~ Binom(z(a, t), pch(t)).</t>
        </is>
      </c>
    </row>
    <row r="49">
      <c r="A49" t="inlineStr">
        <is>
          <t>3. Przejście choroby:  ca(a) → cb;  cb(a) → {śmierć z prawd. m(a) | wyzdrowienie → o}.</t>
        </is>
      </c>
    </row>
    <row r="50">
      <c r="A50" t="inlineStr">
        <is>
          <t>4. Wygaśnięcie odporności:  o(t) → z(t+1) (jeśli przeżyje hazard naturalny).</t>
        </is>
      </c>
    </row>
    <row r="51">
      <c r="A51" t="inlineStr">
        <is>
          <t>5. Naturalna śmiertelność:  Binom(stan, h_nat(a)) na każdym przedziale (przy wieku DOCELOWYM a).</t>
        </is>
      </c>
    </row>
    <row r="52">
      <c r="A52" t="inlineStr">
        <is>
          <t>6. Starzenie:  kohorta a → a+1.  Kohorta a &gt; A_max wymiera (h_nat = 1).</t>
        </is>
      </c>
    </row>
    <row r="53">
      <c r="A53" t="inlineStr">
        <is>
          <t>7. Urodzenia: kohorty a ≥ 2  →  Binom(N(a, t), r(a)).  Część chora ~ udział chorych w kohorcie.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>
      <c r="A1" s="1" t="inlineStr">
        <is>
          <t>t \ a</t>
        </is>
      </c>
      <c r="B1" s="1" t="inlineStr">
        <is>
          <t>a=1</t>
        </is>
      </c>
      <c r="C1" s="1" t="inlineStr">
        <is>
          <t>a=2</t>
        </is>
      </c>
      <c r="D1" s="1" t="inlineStr">
        <is>
          <t>a=3</t>
        </is>
      </c>
      <c r="E1" s="1" t="inlineStr">
        <is>
          <t>a=4</t>
        </is>
      </c>
      <c r="F1" s="1" t="inlineStr">
        <is>
          <t>a=5</t>
        </is>
      </c>
      <c r="G1" s="1" t="inlineStr">
        <is>
          <t>a=6</t>
        </is>
      </c>
      <c r="H1" s="1" t="inlineStr">
        <is>
          <t>a=7</t>
        </is>
      </c>
      <c r="I1" s="1" t="inlineStr">
        <is>
          <t>a=8</t>
        </is>
      </c>
      <c r="J1" s="1" t="inlineStr">
        <is>
          <t>a=9</t>
        </is>
      </c>
      <c r="K1" s="1" t="inlineStr">
        <is>
          <t>a=10</t>
        </is>
      </c>
    </row>
    <row r="2">
      <c r="A2" t="n">
        <v>0</v>
      </c>
      <c r="B2">
        <f>'Założenia'!B32</f>
        <v/>
      </c>
      <c r="C2">
        <f>'Założenia'!B33</f>
        <v/>
      </c>
      <c r="D2">
        <f>'Założenia'!B34</f>
        <v/>
      </c>
      <c r="E2">
        <f>'Założenia'!B35</f>
        <v/>
      </c>
      <c r="F2">
        <f>'Założenia'!B36</f>
        <v/>
      </c>
      <c r="G2">
        <f>'Założenia'!B37</f>
        <v/>
      </c>
      <c r="H2">
        <f>'Założenia'!B38</f>
        <v/>
      </c>
      <c r="I2">
        <f>'Założenia'!B39</f>
        <v/>
      </c>
      <c r="J2">
        <f>'Założenia'!B40</f>
        <v/>
      </c>
      <c r="K2">
        <f>'Założenia'!B41</f>
        <v/>
      </c>
    </row>
    <row r="3">
      <c r="A3" t="n">
        <v>1</v>
      </c>
      <c r="B3">
        <f>MAX(0,(SUM(urodz!C3:K3)-SUM(urodz_ch!C3:K3))-nat_z!B3)</f>
        <v/>
      </c>
      <c r="C3">
        <f>MAX(0,(z!B2-pca!B3+o!B2)-nat_z!C3)</f>
        <v/>
      </c>
      <c r="D3">
        <f>MAX(0,(z!C2-pca!C3+o!C2)-nat_z!D3)</f>
        <v/>
      </c>
      <c r="E3">
        <f>MAX(0,(z!D2-pca!D3+o!D2)-nat_z!E3)</f>
        <v/>
      </c>
      <c r="F3">
        <f>MAX(0,(z!E2-pca!E3+o!E2)-nat_z!F3)</f>
        <v/>
      </c>
      <c r="G3">
        <f>MAX(0,(z!F2-pca!F3+o!F2)-nat_z!G3)</f>
        <v/>
      </c>
      <c r="H3">
        <f>MAX(0,(z!G2-pca!G3+o!G2)-nat_z!H3)</f>
        <v/>
      </c>
      <c r="I3">
        <f>MAX(0,(z!H2-pca!H3+o!H2)-nat_z!I3)</f>
        <v/>
      </c>
      <c r="J3">
        <f>MAX(0,(z!I2-pca!I3+o!I2)-nat_z!J3)</f>
        <v/>
      </c>
      <c r="K3">
        <f>MAX(0,(z!J2-pca!J3+o!J2)-nat_z!K3)</f>
        <v/>
      </c>
    </row>
    <row r="4">
      <c r="A4" t="n">
        <v>2</v>
      </c>
      <c r="B4">
        <f>MAX(0,(SUM(urodz!C4:K4)-SUM(urodz_ch!C4:K4))-nat_z!B4)</f>
        <v/>
      </c>
      <c r="C4">
        <f>MAX(0,(z!B3-pca!B4+o!B3)-nat_z!C4)</f>
        <v/>
      </c>
      <c r="D4">
        <f>MAX(0,(z!C3-pca!C4+o!C3)-nat_z!D4)</f>
        <v/>
      </c>
      <c r="E4">
        <f>MAX(0,(z!D3-pca!D4+o!D3)-nat_z!E4)</f>
        <v/>
      </c>
      <c r="F4">
        <f>MAX(0,(z!E3-pca!E4+o!E3)-nat_z!F4)</f>
        <v/>
      </c>
      <c r="G4">
        <f>MAX(0,(z!F3-pca!F4+o!F3)-nat_z!G4)</f>
        <v/>
      </c>
      <c r="H4">
        <f>MAX(0,(z!G3-pca!G4+o!G3)-nat_z!H4)</f>
        <v/>
      </c>
      <c r="I4">
        <f>MAX(0,(z!H3-pca!H4+o!H3)-nat_z!I4)</f>
        <v/>
      </c>
      <c r="J4">
        <f>MAX(0,(z!I3-pca!I4+o!I3)-nat_z!J4)</f>
        <v/>
      </c>
      <c r="K4">
        <f>MAX(0,(z!J3-pca!J4+o!J3)-nat_z!K4)</f>
        <v/>
      </c>
    </row>
    <row r="5">
      <c r="A5" t="n">
        <v>3</v>
      </c>
      <c r="B5">
        <f>MAX(0,(SUM(urodz!C5:K5)-SUM(urodz_ch!C5:K5))-nat_z!B5)</f>
        <v/>
      </c>
      <c r="C5">
        <f>MAX(0,(z!B4-pca!B5+o!B4)-nat_z!C5)</f>
        <v/>
      </c>
      <c r="D5">
        <f>MAX(0,(z!C4-pca!C5+o!C4)-nat_z!D5)</f>
        <v/>
      </c>
      <c r="E5">
        <f>MAX(0,(z!D4-pca!D5+o!D4)-nat_z!E5)</f>
        <v/>
      </c>
      <c r="F5">
        <f>MAX(0,(z!E4-pca!E5+o!E4)-nat_z!F5)</f>
        <v/>
      </c>
      <c r="G5">
        <f>MAX(0,(z!F4-pca!F5+o!F4)-nat_z!G5)</f>
        <v/>
      </c>
      <c r="H5">
        <f>MAX(0,(z!G4-pca!G5+o!G4)-nat_z!H5)</f>
        <v/>
      </c>
      <c r="I5">
        <f>MAX(0,(z!H4-pca!H5+o!H4)-nat_z!I5)</f>
        <v/>
      </c>
      <c r="J5">
        <f>MAX(0,(z!I4-pca!I5+o!I4)-nat_z!J5)</f>
        <v/>
      </c>
      <c r="K5">
        <f>MAX(0,(z!J4-pca!J5+o!J4)-nat_z!K5)</f>
        <v/>
      </c>
    </row>
    <row r="6">
      <c r="A6" t="n">
        <v>4</v>
      </c>
      <c r="B6">
        <f>MAX(0,(SUM(urodz!C6:K6)-SUM(urodz_ch!C6:K6))-nat_z!B6)</f>
        <v/>
      </c>
      <c r="C6">
        <f>MAX(0,(z!B5-pca!B6+o!B5)-nat_z!C6)</f>
        <v/>
      </c>
      <c r="D6">
        <f>MAX(0,(z!C5-pca!C6+o!C5)-nat_z!D6)</f>
        <v/>
      </c>
      <c r="E6">
        <f>MAX(0,(z!D5-pca!D6+o!D5)-nat_z!E6)</f>
        <v/>
      </c>
      <c r="F6">
        <f>MAX(0,(z!E5-pca!E6+o!E5)-nat_z!F6)</f>
        <v/>
      </c>
      <c r="G6">
        <f>MAX(0,(z!F5-pca!F6+o!F5)-nat_z!G6)</f>
        <v/>
      </c>
      <c r="H6">
        <f>MAX(0,(z!G5-pca!G6+o!G5)-nat_z!H6)</f>
        <v/>
      </c>
      <c r="I6">
        <f>MAX(0,(z!H5-pca!H6+o!H5)-nat_z!I6)</f>
        <v/>
      </c>
      <c r="J6">
        <f>MAX(0,(z!I5-pca!I6+o!I5)-nat_z!J6)</f>
        <v/>
      </c>
      <c r="K6">
        <f>MAX(0,(z!J5-pca!J6+o!J5)-nat_z!K6)</f>
        <v/>
      </c>
    </row>
    <row r="7">
      <c r="A7" t="n">
        <v>5</v>
      </c>
      <c r="B7">
        <f>MAX(0,(SUM(urodz!C7:K7)-SUM(urodz_ch!C7:K7))-nat_z!B7)</f>
        <v/>
      </c>
      <c r="C7">
        <f>MAX(0,(z!B6-pca!B7+o!B6)-nat_z!C7)</f>
        <v/>
      </c>
      <c r="D7">
        <f>MAX(0,(z!C6-pca!C7+o!C6)-nat_z!D7)</f>
        <v/>
      </c>
      <c r="E7">
        <f>MAX(0,(z!D6-pca!D7+o!D6)-nat_z!E7)</f>
        <v/>
      </c>
      <c r="F7">
        <f>MAX(0,(z!E6-pca!E7+o!E6)-nat_z!F7)</f>
        <v/>
      </c>
      <c r="G7">
        <f>MAX(0,(z!F6-pca!F7+o!F6)-nat_z!G7)</f>
        <v/>
      </c>
      <c r="H7">
        <f>MAX(0,(z!G6-pca!G7+o!G6)-nat_z!H7)</f>
        <v/>
      </c>
      <c r="I7">
        <f>MAX(0,(z!H6-pca!H7+o!H6)-nat_z!I7)</f>
        <v/>
      </c>
      <c r="J7">
        <f>MAX(0,(z!I6-pca!I7+o!I6)-nat_z!J7)</f>
        <v/>
      </c>
      <c r="K7">
        <f>MAX(0,(z!J6-pca!J7+o!J6)-nat_z!K7)</f>
        <v/>
      </c>
    </row>
    <row r="8">
      <c r="A8" t="n">
        <v>6</v>
      </c>
      <c r="B8">
        <f>MAX(0,(SUM(urodz!C8:K8)-SUM(urodz_ch!C8:K8))-nat_z!B8)</f>
        <v/>
      </c>
      <c r="C8">
        <f>MAX(0,(z!B7-pca!B8+o!B7)-nat_z!C8)</f>
        <v/>
      </c>
      <c r="D8">
        <f>MAX(0,(z!C7-pca!C8+o!C7)-nat_z!D8)</f>
        <v/>
      </c>
      <c r="E8">
        <f>MAX(0,(z!D7-pca!D8+o!D7)-nat_z!E8)</f>
        <v/>
      </c>
      <c r="F8">
        <f>MAX(0,(z!E7-pca!E8+o!E7)-nat_z!F8)</f>
        <v/>
      </c>
      <c r="G8">
        <f>MAX(0,(z!F7-pca!F8+o!F7)-nat_z!G8)</f>
        <v/>
      </c>
      <c r="H8">
        <f>MAX(0,(z!G7-pca!G8+o!G7)-nat_z!H8)</f>
        <v/>
      </c>
      <c r="I8">
        <f>MAX(0,(z!H7-pca!H8+o!H7)-nat_z!I8)</f>
        <v/>
      </c>
      <c r="J8">
        <f>MAX(0,(z!I7-pca!I8+o!I7)-nat_z!J8)</f>
        <v/>
      </c>
      <c r="K8">
        <f>MAX(0,(z!J7-pca!J8+o!J7)-nat_z!K8)</f>
        <v/>
      </c>
    </row>
    <row r="9">
      <c r="A9" t="n">
        <v>7</v>
      </c>
      <c r="B9">
        <f>MAX(0,(SUM(urodz!C9:K9)-SUM(urodz_ch!C9:K9))-nat_z!B9)</f>
        <v/>
      </c>
      <c r="C9">
        <f>MAX(0,(z!B8-pca!B9+o!B8)-nat_z!C9)</f>
        <v/>
      </c>
      <c r="D9">
        <f>MAX(0,(z!C8-pca!C9+o!C8)-nat_z!D9)</f>
        <v/>
      </c>
      <c r="E9">
        <f>MAX(0,(z!D8-pca!D9+o!D8)-nat_z!E9)</f>
        <v/>
      </c>
      <c r="F9">
        <f>MAX(0,(z!E8-pca!E9+o!E8)-nat_z!F9)</f>
        <v/>
      </c>
      <c r="G9">
        <f>MAX(0,(z!F8-pca!F9+o!F8)-nat_z!G9)</f>
        <v/>
      </c>
      <c r="H9">
        <f>MAX(0,(z!G8-pca!G9+o!G8)-nat_z!H9)</f>
        <v/>
      </c>
      <c r="I9">
        <f>MAX(0,(z!H8-pca!H9+o!H8)-nat_z!I9)</f>
        <v/>
      </c>
      <c r="J9">
        <f>MAX(0,(z!I8-pca!I9+o!I8)-nat_z!J9)</f>
        <v/>
      </c>
      <c r="K9">
        <f>MAX(0,(z!J8-pca!J9+o!J8)-nat_z!K9)</f>
        <v/>
      </c>
    </row>
    <row r="10">
      <c r="A10" t="n">
        <v>8</v>
      </c>
      <c r="B10">
        <f>MAX(0,(SUM(urodz!C10:K10)-SUM(urodz_ch!C10:K10))-nat_z!B10)</f>
        <v/>
      </c>
      <c r="C10">
        <f>MAX(0,(z!B9-pca!B10+o!B9)-nat_z!C10)</f>
        <v/>
      </c>
      <c r="D10">
        <f>MAX(0,(z!C9-pca!C10+o!C9)-nat_z!D10)</f>
        <v/>
      </c>
      <c r="E10">
        <f>MAX(0,(z!D9-pca!D10+o!D9)-nat_z!E10)</f>
        <v/>
      </c>
      <c r="F10">
        <f>MAX(0,(z!E9-pca!E10+o!E9)-nat_z!F10)</f>
        <v/>
      </c>
      <c r="G10">
        <f>MAX(0,(z!F9-pca!F10+o!F9)-nat_z!G10)</f>
        <v/>
      </c>
      <c r="H10">
        <f>MAX(0,(z!G9-pca!G10+o!G9)-nat_z!H10)</f>
        <v/>
      </c>
      <c r="I10">
        <f>MAX(0,(z!H9-pca!H10+o!H9)-nat_z!I10)</f>
        <v/>
      </c>
      <c r="J10">
        <f>MAX(0,(z!I9-pca!I10+o!I9)-nat_z!J10)</f>
        <v/>
      </c>
      <c r="K10">
        <f>MAX(0,(z!J9-pca!J10+o!J9)-nat_z!K10)</f>
        <v/>
      </c>
    </row>
    <row r="11">
      <c r="A11" t="n">
        <v>9</v>
      </c>
      <c r="B11">
        <f>MAX(0,(SUM(urodz!C11:K11)-SUM(urodz_ch!C11:K11))-nat_z!B11)</f>
        <v/>
      </c>
      <c r="C11">
        <f>MAX(0,(z!B10-pca!B11+o!B10)-nat_z!C11)</f>
        <v/>
      </c>
      <c r="D11">
        <f>MAX(0,(z!C10-pca!C11+o!C10)-nat_z!D11)</f>
        <v/>
      </c>
      <c r="E11">
        <f>MAX(0,(z!D10-pca!D11+o!D10)-nat_z!E11)</f>
        <v/>
      </c>
      <c r="F11">
        <f>MAX(0,(z!E10-pca!E11+o!E10)-nat_z!F11)</f>
        <v/>
      </c>
      <c r="G11">
        <f>MAX(0,(z!F10-pca!F11+o!F10)-nat_z!G11)</f>
        <v/>
      </c>
      <c r="H11">
        <f>MAX(0,(z!G10-pca!G11+o!G10)-nat_z!H11)</f>
        <v/>
      </c>
      <c r="I11">
        <f>MAX(0,(z!H10-pca!H11+o!H10)-nat_z!I11)</f>
        <v/>
      </c>
      <c r="J11">
        <f>MAX(0,(z!I10-pca!I11+o!I10)-nat_z!J11)</f>
        <v/>
      </c>
      <c r="K11">
        <f>MAX(0,(z!J10-pca!J11+o!J10)-nat_z!K11)</f>
        <v/>
      </c>
    </row>
    <row r="12">
      <c r="A12" t="n">
        <v>10</v>
      </c>
      <c r="B12">
        <f>MAX(0,(SUM(urodz!C12:K12)-SUM(urodz_ch!C12:K12))-nat_z!B12)</f>
        <v/>
      </c>
      <c r="C12">
        <f>MAX(0,(z!B11-pca!B12+o!B11)-nat_z!C12)</f>
        <v/>
      </c>
      <c r="D12">
        <f>MAX(0,(z!C11-pca!C12+o!C11)-nat_z!D12)</f>
        <v/>
      </c>
      <c r="E12">
        <f>MAX(0,(z!D11-pca!D12+o!D11)-nat_z!E12)</f>
        <v/>
      </c>
      <c r="F12">
        <f>MAX(0,(z!E11-pca!E12+o!E11)-nat_z!F12)</f>
        <v/>
      </c>
      <c r="G12">
        <f>MAX(0,(z!F11-pca!F12+o!F11)-nat_z!G12)</f>
        <v/>
      </c>
      <c r="H12">
        <f>MAX(0,(z!G11-pca!G12+o!G11)-nat_z!H12)</f>
        <v/>
      </c>
      <c r="I12">
        <f>MAX(0,(z!H11-pca!H12+o!H11)-nat_z!I12)</f>
        <v/>
      </c>
      <c r="J12">
        <f>MAX(0,(z!I11-pca!I12+o!I11)-nat_z!J12)</f>
        <v/>
      </c>
      <c r="K12">
        <f>MAX(0,(z!J11-pca!J12+o!J11)-nat_z!K12)</f>
        <v/>
      </c>
    </row>
    <row r="13">
      <c r="A13" t="n">
        <v>11</v>
      </c>
      <c r="B13">
        <f>MAX(0,(SUM(urodz!C13:K13)-SUM(urodz_ch!C13:K13))-nat_z!B13)</f>
        <v/>
      </c>
      <c r="C13">
        <f>MAX(0,(z!B12-pca!B13+o!B12)-nat_z!C13)</f>
        <v/>
      </c>
      <c r="D13">
        <f>MAX(0,(z!C12-pca!C13+o!C12)-nat_z!D13)</f>
        <v/>
      </c>
      <c r="E13">
        <f>MAX(0,(z!D12-pca!D13+o!D12)-nat_z!E13)</f>
        <v/>
      </c>
      <c r="F13">
        <f>MAX(0,(z!E12-pca!E13+o!E12)-nat_z!F13)</f>
        <v/>
      </c>
      <c r="G13">
        <f>MAX(0,(z!F12-pca!F13+o!F12)-nat_z!G13)</f>
        <v/>
      </c>
      <c r="H13">
        <f>MAX(0,(z!G12-pca!G13+o!G12)-nat_z!H13)</f>
        <v/>
      </c>
      <c r="I13">
        <f>MAX(0,(z!H12-pca!H13+o!H12)-nat_z!I13)</f>
        <v/>
      </c>
      <c r="J13">
        <f>MAX(0,(z!I12-pca!I13+o!I12)-nat_z!J13)</f>
        <v/>
      </c>
      <c r="K13">
        <f>MAX(0,(z!J12-pca!J13+o!J12)-nat_z!K13)</f>
        <v/>
      </c>
    </row>
    <row r="14">
      <c r="A14" t="n">
        <v>12</v>
      </c>
      <c r="B14">
        <f>MAX(0,(SUM(urodz!C14:K14)-SUM(urodz_ch!C14:K14))-nat_z!B14)</f>
        <v/>
      </c>
      <c r="C14">
        <f>MAX(0,(z!B13-pca!B14+o!B13)-nat_z!C14)</f>
        <v/>
      </c>
      <c r="D14">
        <f>MAX(0,(z!C13-pca!C14+o!C13)-nat_z!D14)</f>
        <v/>
      </c>
      <c r="E14">
        <f>MAX(0,(z!D13-pca!D14+o!D13)-nat_z!E14)</f>
        <v/>
      </c>
      <c r="F14">
        <f>MAX(0,(z!E13-pca!E14+o!E13)-nat_z!F14)</f>
        <v/>
      </c>
      <c r="G14">
        <f>MAX(0,(z!F13-pca!F14+o!F13)-nat_z!G14)</f>
        <v/>
      </c>
      <c r="H14">
        <f>MAX(0,(z!G13-pca!G14+o!G13)-nat_z!H14)</f>
        <v/>
      </c>
      <c r="I14">
        <f>MAX(0,(z!H13-pca!H14+o!H13)-nat_z!I14)</f>
        <v/>
      </c>
      <c r="J14">
        <f>MAX(0,(z!I13-pca!I14+o!I13)-nat_z!J14)</f>
        <v/>
      </c>
      <c r="K14">
        <f>MAX(0,(z!J13-pca!J14+o!J13)-nat_z!K14)</f>
        <v/>
      </c>
    </row>
    <row r="15">
      <c r="A15" t="n">
        <v>13</v>
      </c>
      <c r="B15">
        <f>MAX(0,(SUM(urodz!C15:K15)-SUM(urodz_ch!C15:K15))-nat_z!B15)</f>
        <v/>
      </c>
      <c r="C15">
        <f>MAX(0,(z!B14-pca!B15+o!B14)-nat_z!C15)</f>
        <v/>
      </c>
      <c r="D15">
        <f>MAX(0,(z!C14-pca!C15+o!C14)-nat_z!D15)</f>
        <v/>
      </c>
      <c r="E15">
        <f>MAX(0,(z!D14-pca!D15+o!D14)-nat_z!E15)</f>
        <v/>
      </c>
      <c r="F15">
        <f>MAX(0,(z!E14-pca!E15+o!E14)-nat_z!F15)</f>
        <v/>
      </c>
      <c r="G15">
        <f>MAX(0,(z!F14-pca!F15+o!F14)-nat_z!G15)</f>
        <v/>
      </c>
      <c r="H15">
        <f>MAX(0,(z!G14-pca!G15+o!G14)-nat_z!H15)</f>
        <v/>
      </c>
      <c r="I15">
        <f>MAX(0,(z!H14-pca!H15+o!H14)-nat_z!I15)</f>
        <v/>
      </c>
      <c r="J15">
        <f>MAX(0,(z!I14-pca!I15+o!I14)-nat_z!J15)</f>
        <v/>
      </c>
      <c r="K15">
        <f>MAX(0,(z!J14-pca!J15+o!J14)-nat_z!K15)</f>
        <v/>
      </c>
    </row>
    <row r="16">
      <c r="A16" t="n">
        <v>14</v>
      </c>
      <c r="B16">
        <f>MAX(0,(SUM(urodz!C16:K16)-SUM(urodz_ch!C16:K16))-nat_z!B16)</f>
        <v/>
      </c>
      <c r="C16">
        <f>MAX(0,(z!B15-pca!B16+o!B15)-nat_z!C16)</f>
        <v/>
      </c>
      <c r="D16">
        <f>MAX(0,(z!C15-pca!C16+o!C15)-nat_z!D16)</f>
        <v/>
      </c>
      <c r="E16">
        <f>MAX(0,(z!D15-pca!D16+o!D15)-nat_z!E16)</f>
        <v/>
      </c>
      <c r="F16">
        <f>MAX(0,(z!E15-pca!E16+o!E15)-nat_z!F16)</f>
        <v/>
      </c>
      <c r="G16">
        <f>MAX(0,(z!F15-pca!F16+o!F15)-nat_z!G16)</f>
        <v/>
      </c>
      <c r="H16">
        <f>MAX(0,(z!G15-pca!G16+o!G15)-nat_z!H16)</f>
        <v/>
      </c>
      <c r="I16">
        <f>MAX(0,(z!H15-pca!H16+o!H15)-nat_z!I16)</f>
        <v/>
      </c>
      <c r="J16">
        <f>MAX(0,(z!I15-pca!I16+o!I15)-nat_z!J16)</f>
        <v/>
      </c>
      <c r="K16">
        <f>MAX(0,(z!J15-pca!J16+o!J15)-nat_z!K16)</f>
        <v/>
      </c>
    </row>
    <row r="17">
      <c r="A17" t="n">
        <v>15</v>
      </c>
      <c r="B17">
        <f>MAX(0,(SUM(urodz!C17:K17)-SUM(urodz_ch!C17:K17))-nat_z!B17)</f>
        <v/>
      </c>
      <c r="C17">
        <f>MAX(0,(z!B16-pca!B17+o!B16)-nat_z!C17)</f>
        <v/>
      </c>
      <c r="D17">
        <f>MAX(0,(z!C16-pca!C17+o!C16)-nat_z!D17)</f>
        <v/>
      </c>
      <c r="E17">
        <f>MAX(0,(z!D16-pca!D17+o!D16)-nat_z!E17)</f>
        <v/>
      </c>
      <c r="F17">
        <f>MAX(0,(z!E16-pca!E17+o!E16)-nat_z!F17)</f>
        <v/>
      </c>
      <c r="G17">
        <f>MAX(0,(z!F16-pca!F17+o!F16)-nat_z!G17)</f>
        <v/>
      </c>
      <c r="H17">
        <f>MAX(0,(z!G16-pca!G17+o!G16)-nat_z!H17)</f>
        <v/>
      </c>
      <c r="I17">
        <f>MAX(0,(z!H16-pca!H17+o!H16)-nat_z!I17)</f>
        <v/>
      </c>
      <c r="J17">
        <f>MAX(0,(z!I16-pca!I17+o!I16)-nat_z!J17)</f>
        <v/>
      </c>
      <c r="K17">
        <f>MAX(0,(z!J16-pca!J17+o!J16)-nat_z!K17)</f>
        <v/>
      </c>
    </row>
    <row r="18">
      <c r="A18" t="n">
        <v>16</v>
      </c>
      <c r="B18">
        <f>MAX(0,(SUM(urodz!C18:K18)-SUM(urodz_ch!C18:K18))-nat_z!B18)</f>
        <v/>
      </c>
      <c r="C18">
        <f>MAX(0,(z!B17-pca!B18+o!B17)-nat_z!C18)</f>
        <v/>
      </c>
      <c r="D18">
        <f>MAX(0,(z!C17-pca!C18+o!C17)-nat_z!D18)</f>
        <v/>
      </c>
      <c r="E18">
        <f>MAX(0,(z!D17-pca!D18+o!D17)-nat_z!E18)</f>
        <v/>
      </c>
      <c r="F18">
        <f>MAX(0,(z!E17-pca!E18+o!E17)-nat_z!F18)</f>
        <v/>
      </c>
      <c r="G18">
        <f>MAX(0,(z!F17-pca!F18+o!F17)-nat_z!G18)</f>
        <v/>
      </c>
      <c r="H18">
        <f>MAX(0,(z!G17-pca!G18+o!G17)-nat_z!H18)</f>
        <v/>
      </c>
      <c r="I18">
        <f>MAX(0,(z!H17-pca!H18+o!H17)-nat_z!I18)</f>
        <v/>
      </c>
      <c r="J18">
        <f>MAX(0,(z!I17-pca!I18+o!I17)-nat_z!J18)</f>
        <v/>
      </c>
      <c r="K18">
        <f>MAX(0,(z!J17-pca!J18+o!J17)-nat_z!K18)</f>
        <v/>
      </c>
    </row>
    <row r="19">
      <c r="A19" t="n">
        <v>17</v>
      </c>
      <c r="B19">
        <f>MAX(0,(SUM(urodz!C19:K19)-SUM(urodz_ch!C19:K19))-nat_z!B19)</f>
        <v/>
      </c>
      <c r="C19">
        <f>MAX(0,(z!B18-pca!B19+o!B18)-nat_z!C19)</f>
        <v/>
      </c>
      <c r="D19">
        <f>MAX(0,(z!C18-pca!C19+o!C18)-nat_z!D19)</f>
        <v/>
      </c>
      <c r="E19">
        <f>MAX(0,(z!D18-pca!D19+o!D18)-nat_z!E19)</f>
        <v/>
      </c>
      <c r="F19">
        <f>MAX(0,(z!E18-pca!E19+o!E18)-nat_z!F19)</f>
        <v/>
      </c>
      <c r="G19">
        <f>MAX(0,(z!F18-pca!F19+o!F18)-nat_z!G19)</f>
        <v/>
      </c>
      <c r="H19">
        <f>MAX(0,(z!G18-pca!G19+o!G18)-nat_z!H19)</f>
        <v/>
      </c>
      <c r="I19">
        <f>MAX(0,(z!H18-pca!H19+o!H18)-nat_z!I19)</f>
        <v/>
      </c>
      <c r="J19">
        <f>MAX(0,(z!I18-pca!I19+o!I18)-nat_z!J19)</f>
        <v/>
      </c>
      <c r="K19">
        <f>MAX(0,(z!J18-pca!J19+o!J18)-nat_z!K19)</f>
        <v/>
      </c>
    </row>
    <row r="20">
      <c r="A20" t="n">
        <v>18</v>
      </c>
      <c r="B20">
        <f>MAX(0,(SUM(urodz!C20:K20)-SUM(urodz_ch!C20:K20))-nat_z!B20)</f>
        <v/>
      </c>
      <c r="C20">
        <f>MAX(0,(z!B19-pca!B20+o!B19)-nat_z!C20)</f>
        <v/>
      </c>
      <c r="D20">
        <f>MAX(0,(z!C19-pca!C20+o!C19)-nat_z!D20)</f>
        <v/>
      </c>
      <c r="E20">
        <f>MAX(0,(z!D19-pca!D20+o!D19)-nat_z!E20)</f>
        <v/>
      </c>
      <c r="F20">
        <f>MAX(0,(z!E19-pca!E20+o!E19)-nat_z!F20)</f>
        <v/>
      </c>
      <c r="G20">
        <f>MAX(0,(z!F19-pca!F20+o!F19)-nat_z!G20)</f>
        <v/>
      </c>
      <c r="H20">
        <f>MAX(0,(z!G19-pca!G20+o!G19)-nat_z!H20)</f>
        <v/>
      </c>
      <c r="I20">
        <f>MAX(0,(z!H19-pca!H20+o!H19)-nat_z!I20)</f>
        <v/>
      </c>
      <c r="J20">
        <f>MAX(0,(z!I19-pca!I20+o!I19)-nat_z!J20)</f>
        <v/>
      </c>
      <c r="K20">
        <f>MAX(0,(z!J19-pca!J20+o!J19)-nat_z!K20)</f>
        <v/>
      </c>
    </row>
    <row r="21">
      <c r="A21" t="n">
        <v>19</v>
      </c>
      <c r="B21">
        <f>MAX(0,(SUM(urodz!C21:K21)-SUM(urodz_ch!C21:K21))-nat_z!B21)</f>
        <v/>
      </c>
      <c r="C21">
        <f>MAX(0,(z!B20-pca!B21+o!B20)-nat_z!C21)</f>
        <v/>
      </c>
      <c r="D21">
        <f>MAX(0,(z!C20-pca!C21+o!C20)-nat_z!D21)</f>
        <v/>
      </c>
      <c r="E21">
        <f>MAX(0,(z!D20-pca!D21+o!D20)-nat_z!E21)</f>
        <v/>
      </c>
      <c r="F21">
        <f>MAX(0,(z!E20-pca!E21+o!E20)-nat_z!F21)</f>
        <v/>
      </c>
      <c r="G21">
        <f>MAX(0,(z!F20-pca!F21+o!F20)-nat_z!G21)</f>
        <v/>
      </c>
      <c r="H21">
        <f>MAX(0,(z!G20-pca!G21+o!G20)-nat_z!H21)</f>
        <v/>
      </c>
      <c r="I21">
        <f>MAX(0,(z!H20-pca!H21+o!H20)-nat_z!I21)</f>
        <v/>
      </c>
      <c r="J21">
        <f>MAX(0,(z!I20-pca!I21+o!I20)-nat_z!J21)</f>
        <v/>
      </c>
      <c r="K21">
        <f>MAX(0,(z!J20-pca!J21+o!J20)-nat_z!K21)</f>
        <v/>
      </c>
    </row>
    <row r="22">
      <c r="A22" t="n">
        <v>20</v>
      </c>
      <c r="B22">
        <f>MAX(0,(SUM(urodz!C22:K22)-SUM(urodz_ch!C22:K22))-nat_z!B22)</f>
        <v/>
      </c>
      <c r="C22">
        <f>MAX(0,(z!B21-pca!B22+o!B21)-nat_z!C22)</f>
        <v/>
      </c>
      <c r="D22">
        <f>MAX(0,(z!C21-pca!C22+o!C21)-nat_z!D22)</f>
        <v/>
      </c>
      <c r="E22">
        <f>MAX(0,(z!D21-pca!D22+o!D21)-nat_z!E22)</f>
        <v/>
      </c>
      <c r="F22">
        <f>MAX(0,(z!E21-pca!E22+o!E21)-nat_z!F22)</f>
        <v/>
      </c>
      <c r="G22">
        <f>MAX(0,(z!F21-pca!F22+o!F21)-nat_z!G22)</f>
        <v/>
      </c>
      <c r="H22">
        <f>MAX(0,(z!G21-pca!G22+o!G21)-nat_z!H22)</f>
        <v/>
      </c>
      <c r="I22">
        <f>MAX(0,(z!H21-pca!H22+o!H21)-nat_z!I22)</f>
        <v/>
      </c>
      <c r="J22">
        <f>MAX(0,(z!I21-pca!I22+o!I21)-nat_z!J22)</f>
        <v/>
      </c>
      <c r="K22">
        <f>MAX(0,(z!J21-pca!J22+o!J21)-nat_z!K22)</f>
        <v/>
      </c>
    </row>
    <row r="23">
      <c r="A23" t="n">
        <v>21</v>
      </c>
      <c r="B23">
        <f>MAX(0,(SUM(urodz!C23:K23)-SUM(urodz_ch!C23:K23))-nat_z!B23)</f>
        <v/>
      </c>
      <c r="C23">
        <f>MAX(0,(z!B22-pca!B23+o!B22)-nat_z!C23)</f>
        <v/>
      </c>
      <c r="D23">
        <f>MAX(0,(z!C22-pca!C23+o!C22)-nat_z!D23)</f>
        <v/>
      </c>
      <c r="E23">
        <f>MAX(0,(z!D22-pca!D23+o!D22)-nat_z!E23)</f>
        <v/>
      </c>
      <c r="F23">
        <f>MAX(0,(z!E22-pca!E23+o!E22)-nat_z!F23)</f>
        <v/>
      </c>
      <c r="G23">
        <f>MAX(0,(z!F22-pca!F23+o!F22)-nat_z!G23)</f>
        <v/>
      </c>
      <c r="H23">
        <f>MAX(0,(z!G22-pca!G23+o!G22)-nat_z!H23)</f>
        <v/>
      </c>
      <c r="I23">
        <f>MAX(0,(z!H22-pca!H23+o!H22)-nat_z!I23)</f>
        <v/>
      </c>
      <c r="J23">
        <f>MAX(0,(z!I22-pca!I23+o!I22)-nat_z!J23)</f>
        <v/>
      </c>
      <c r="K23">
        <f>MAX(0,(z!J22-pca!J23+o!J22)-nat_z!K23)</f>
        <v/>
      </c>
    </row>
    <row r="24">
      <c r="A24" t="n">
        <v>22</v>
      </c>
      <c r="B24">
        <f>MAX(0,(SUM(urodz!C24:K24)-SUM(urodz_ch!C24:K24))-nat_z!B24)</f>
        <v/>
      </c>
      <c r="C24">
        <f>MAX(0,(z!B23-pca!B24+o!B23)-nat_z!C24)</f>
        <v/>
      </c>
      <c r="D24">
        <f>MAX(0,(z!C23-pca!C24+o!C23)-nat_z!D24)</f>
        <v/>
      </c>
      <c r="E24">
        <f>MAX(0,(z!D23-pca!D24+o!D23)-nat_z!E24)</f>
        <v/>
      </c>
      <c r="F24">
        <f>MAX(0,(z!E23-pca!E24+o!E23)-nat_z!F24)</f>
        <v/>
      </c>
      <c r="G24">
        <f>MAX(0,(z!F23-pca!F24+o!F23)-nat_z!G24)</f>
        <v/>
      </c>
      <c r="H24">
        <f>MAX(0,(z!G23-pca!G24+o!G23)-nat_z!H24)</f>
        <v/>
      </c>
      <c r="I24">
        <f>MAX(0,(z!H23-pca!H24+o!H23)-nat_z!I24)</f>
        <v/>
      </c>
      <c r="J24">
        <f>MAX(0,(z!I23-pca!I24+o!I23)-nat_z!J24)</f>
        <v/>
      </c>
      <c r="K24">
        <f>MAX(0,(z!J23-pca!J24+o!J23)-nat_z!K24)</f>
        <v/>
      </c>
    </row>
    <row r="25">
      <c r="A25" t="n">
        <v>23</v>
      </c>
      <c r="B25">
        <f>MAX(0,(SUM(urodz!C25:K25)-SUM(urodz_ch!C25:K25))-nat_z!B25)</f>
        <v/>
      </c>
      <c r="C25">
        <f>MAX(0,(z!B24-pca!B25+o!B24)-nat_z!C25)</f>
        <v/>
      </c>
      <c r="D25">
        <f>MAX(0,(z!C24-pca!C25+o!C24)-nat_z!D25)</f>
        <v/>
      </c>
      <c r="E25">
        <f>MAX(0,(z!D24-pca!D25+o!D24)-nat_z!E25)</f>
        <v/>
      </c>
      <c r="F25">
        <f>MAX(0,(z!E24-pca!E25+o!E24)-nat_z!F25)</f>
        <v/>
      </c>
      <c r="G25">
        <f>MAX(0,(z!F24-pca!F25+o!F24)-nat_z!G25)</f>
        <v/>
      </c>
      <c r="H25">
        <f>MAX(0,(z!G24-pca!G25+o!G24)-nat_z!H25)</f>
        <v/>
      </c>
      <c r="I25">
        <f>MAX(0,(z!H24-pca!H25+o!H24)-nat_z!I25)</f>
        <v/>
      </c>
      <c r="J25">
        <f>MAX(0,(z!I24-pca!I25+o!I24)-nat_z!J25)</f>
        <v/>
      </c>
      <c r="K25">
        <f>MAX(0,(z!J24-pca!J25+o!J24)-nat_z!K25)</f>
        <v/>
      </c>
    </row>
    <row r="26">
      <c r="A26" t="n">
        <v>24</v>
      </c>
      <c r="B26">
        <f>MAX(0,(SUM(urodz!C26:K26)-SUM(urodz_ch!C26:K26))-nat_z!B26)</f>
        <v/>
      </c>
      <c r="C26">
        <f>MAX(0,(z!B25-pca!B26+o!B25)-nat_z!C26)</f>
        <v/>
      </c>
      <c r="D26">
        <f>MAX(0,(z!C25-pca!C26+o!C25)-nat_z!D26)</f>
        <v/>
      </c>
      <c r="E26">
        <f>MAX(0,(z!D25-pca!D26+o!D25)-nat_z!E26)</f>
        <v/>
      </c>
      <c r="F26">
        <f>MAX(0,(z!E25-pca!E26+o!E25)-nat_z!F26)</f>
        <v/>
      </c>
      <c r="G26">
        <f>MAX(0,(z!F25-pca!F26+o!F25)-nat_z!G26)</f>
        <v/>
      </c>
      <c r="H26">
        <f>MAX(0,(z!G25-pca!G26+o!G25)-nat_z!H26)</f>
        <v/>
      </c>
      <c r="I26">
        <f>MAX(0,(z!H25-pca!H26+o!H25)-nat_z!I26)</f>
        <v/>
      </c>
      <c r="J26">
        <f>MAX(0,(z!I25-pca!I26+o!I25)-nat_z!J26)</f>
        <v/>
      </c>
      <c r="K26">
        <f>MAX(0,(z!J25-pca!J26+o!J25)-nat_z!K26)</f>
        <v/>
      </c>
    </row>
    <row r="27">
      <c r="A27" t="n">
        <v>25</v>
      </c>
      <c r="B27">
        <f>MAX(0,(SUM(urodz!C27:K27)-SUM(urodz_ch!C27:K27))-nat_z!B27)</f>
        <v/>
      </c>
      <c r="C27">
        <f>MAX(0,(z!B26-pca!B27+o!B26)-nat_z!C27)</f>
        <v/>
      </c>
      <c r="D27">
        <f>MAX(0,(z!C26-pca!C27+o!C26)-nat_z!D27)</f>
        <v/>
      </c>
      <c r="E27">
        <f>MAX(0,(z!D26-pca!D27+o!D26)-nat_z!E27)</f>
        <v/>
      </c>
      <c r="F27">
        <f>MAX(0,(z!E26-pca!E27+o!E26)-nat_z!F27)</f>
        <v/>
      </c>
      <c r="G27">
        <f>MAX(0,(z!F26-pca!F27+o!F26)-nat_z!G27)</f>
        <v/>
      </c>
      <c r="H27">
        <f>MAX(0,(z!G26-pca!G27+o!G26)-nat_z!H27)</f>
        <v/>
      </c>
      <c r="I27">
        <f>MAX(0,(z!H26-pca!H27+o!H26)-nat_z!I27)</f>
        <v/>
      </c>
      <c r="J27">
        <f>MAX(0,(z!I26-pca!I27+o!I26)-nat_z!J27)</f>
        <v/>
      </c>
      <c r="K27">
        <f>MAX(0,(z!J26-pca!J27+o!J26)-nat_z!K27)</f>
        <v/>
      </c>
    </row>
    <row r="28">
      <c r="A28" t="n">
        <v>26</v>
      </c>
      <c r="B28">
        <f>MAX(0,(SUM(urodz!C28:K28)-SUM(urodz_ch!C28:K28))-nat_z!B28)</f>
        <v/>
      </c>
      <c r="C28">
        <f>MAX(0,(z!B27-pca!B28+o!B27)-nat_z!C28)</f>
        <v/>
      </c>
      <c r="D28">
        <f>MAX(0,(z!C27-pca!C28+o!C27)-nat_z!D28)</f>
        <v/>
      </c>
      <c r="E28">
        <f>MAX(0,(z!D27-pca!D28+o!D27)-nat_z!E28)</f>
        <v/>
      </c>
      <c r="F28">
        <f>MAX(0,(z!E27-pca!E28+o!E27)-nat_z!F28)</f>
        <v/>
      </c>
      <c r="G28">
        <f>MAX(0,(z!F27-pca!F28+o!F27)-nat_z!G28)</f>
        <v/>
      </c>
      <c r="H28">
        <f>MAX(0,(z!G27-pca!G28+o!G27)-nat_z!H28)</f>
        <v/>
      </c>
      <c r="I28">
        <f>MAX(0,(z!H27-pca!H28+o!H27)-nat_z!I28)</f>
        <v/>
      </c>
      <c r="J28">
        <f>MAX(0,(z!I27-pca!I28+o!I27)-nat_z!J28)</f>
        <v/>
      </c>
      <c r="K28">
        <f>MAX(0,(z!J27-pca!J28+o!J27)-nat_z!K28)</f>
        <v/>
      </c>
    </row>
    <row r="29">
      <c r="A29" t="n">
        <v>27</v>
      </c>
      <c r="B29">
        <f>MAX(0,(SUM(urodz!C29:K29)-SUM(urodz_ch!C29:K29))-nat_z!B29)</f>
        <v/>
      </c>
      <c r="C29">
        <f>MAX(0,(z!B28-pca!B29+o!B28)-nat_z!C29)</f>
        <v/>
      </c>
      <c r="D29">
        <f>MAX(0,(z!C28-pca!C29+o!C28)-nat_z!D29)</f>
        <v/>
      </c>
      <c r="E29">
        <f>MAX(0,(z!D28-pca!D29+o!D28)-nat_z!E29)</f>
        <v/>
      </c>
      <c r="F29">
        <f>MAX(0,(z!E28-pca!E29+o!E28)-nat_z!F29)</f>
        <v/>
      </c>
      <c r="G29">
        <f>MAX(0,(z!F28-pca!F29+o!F28)-nat_z!G29)</f>
        <v/>
      </c>
      <c r="H29">
        <f>MAX(0,(z!G28-pca!G29+o!G28)-nat_z!H29)</f>
        <v/>
      </c>
      <c r="I29">
        <f>MAX(0,(z!H28-pca!H29+o!H28)-nat_z!I29)</f>
        <v/>
      </c>
      <c r="J29">
        <f>MAX(0,(z!I28-pca!I29+o!I28)-nat_z!J29)</f>
        <v/>
      </c>
      <c r="K29">
        <f>MAX(0,(z!J28-pca!J29+o!J28)-nat_z!K29)</f>
        <v/>
      </c>
    </row>
    <row r="30">
      <c r="A30" t="n">
        <v>28</v>
      </c>
      <c r="B30">
        <f>MAX(0,(SUM(urodz!C30:K30)-SUM(urodz_ch!C30:K30))-nat_z!B30)</f>
        <v/>
      </c>
      <c r="C30">
        <f>MAX(0,(z!B29-pca!B30+o!B29)-nat_z!C30)</f>
        <v/>
      </c>
      <c r="D30">
        <f>MAX(0,(z!C29-pca!C30+o!C29)-nat_z!D30)</f>
        <v/>
      </c>
      <c r="E30">
        <f>MAX(0,(z!D29-pca!D30+o!D29)-nat_z!E30)</f>
        <v/>
      </c>
      <c r="F30">
        <f>MAX(0,(z!E29-pca!E30+o!E29)-nat_z!F30)</f>
        <v/>
      </c>
      <c r="G30">
        <f>MAX(0,(z!F29-pca!F30+o!F29)-nat_z!G30)</f>
        <v/>
      </c>
      <c r="H30">
        <f>MAX(0,(z!G29-pca!G30+o!G29)-nat_z!H30)</f>
        <v/>
      </c>
      <c r="I30">
        <f>MAX(0,(z!H29-pca!H30+o!H29)-nat_z!I30)</f>
        <v/>
      </c>
      <c r="J30">
        <f>MAX(0,(z!I29-pca!I30+o!I29)-nat_z!J30)</f>
        <v/>
      </c>
      <c r="K30">
        <f>MAX(0,(z!J29-pca!J30+o!J29)-nat_z!K30)</f>
        <v/>
      </c>
    </row>
    <row r="31">
      <c r="A31" t="n">
        <v>29</v>
      </c>
      <c r="B31">
        <f>MAX(0,(SUM(urodz!C31:K31)-SUM(urodz_ch!C31:K31))-nat_z!B31)</f>
        <v/>
      </c>
      <c r="C31">
        <f>MAX(0,(z!B30-pca!B31+o!B30)-nat_z!C31)</f>
        <v/>
      </c>
      <c r="D31">
        <f>MAX(0,(z!C30-pca!C31+o!C30)-nat_z!D31)</f>
        <v/>
      </c>
      <c r="E31">
        <f>MAX(0,(z!D30-pca!D31+o!D30)-nat_z!E31)</f>
        <v/>
      </c>
      <c r="F31">
        <f>MAX(0,(z!E30-pca!E31+o!E30)-nat_z!F31)</f>
        <v/>
      </c>
      <c r="G31">
        <f>MAX(0,(z!F30-pca!F31+o!F30)-nat_z!G31)</f>
        <v/>
      </c>
      <c r="H31">
        <f>MAX(0,(z!G30-pca!G31+o!G30)-nat_z!H31)</f>
        <v/>
      </c>
      <c r="I31">
        <f>MAX(0,(z!H30-pca!H31+o!H30)-nat_z!I31)</f>
        <v/>
      </c>
      <c r="J31">
        <f>MAX(0,(z!I30-pca!I31+o!I30)-nat_z!J31)</f>
        <v/>
      </c>
      <c r="K31">
        <f>MAX(0,(z!J30-pca!J31+o!J30)-nat_z!K31)</f>
        <v/>
      </c>
    </row>
    <row r="32">
      <c r="A32" t="n">
        <v>30</v>
      </c>
      <c r="B32">
        <f>MAX(0,(SUM(urodz!C32:K32)-SUM(urodz_ch!C32:K32))-nat_z!B32)</f>
        <v/>
      </c>
      <c r="C32">
        <f>MAX(0,(z!B31-pca!B32+o!B31)-nat_z!C32)</f>
        <v/>
      </c>
      <c r="D32">
        <f>MAX(0,(z!C31-pca!C32+o!C31)-nat_z!D32)</f>
        <v/>
      </c>
      <c r="E32">
        <f>MAX(0,(z!D31-pca!D32+o!D31)-nat_z!E32)</f>
        <v/>
      </c>
      <c r="F32">
        <f>MAX(0,(z!E31-pca!E32+o!E31)-nat_z!F32)</f>
        <v/>
      </c>
      <c r="G32">
        <f>MAX(0,(z!F31-pca!F32+o!F31)-nat_z!G32)</f>
        <v/>
      </c>
      <c r="H32">
        <f>MAX(0,(z!G31-pca!G32+o!G31)-nat_z!H32)</f>
        <v/>
      </c>
      <c r="I32">
        <f>MAX(0,(z!H31-pca!H32+o!H31)-nat_z!I32)</f>
        <v/>
      </c>
      <c r="J32">
        <f>MAX(0,(z!I31-pca!I32+o!I31)-nat_z!J32)</f>
        <v/>
      </c>
      <c r="K32">
        <f>MAX(0,(z!J31-pca!J32+o!J31)-nat_z!K32)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>
      <c r="A1" s="1" t="inlineStr">
        <is>
          <t>t \ a</t>
        </is>
      </c>
      <c r="B1" s="1" t="inlineStr">
        <is>
          <t>a=1</t>
        </is>
      </c>
      <c r="C1" s="1" t="inlineStr">
        <is>
          <t>a=2</t>
        </is>
      </c>
      <c r="D1" s="1" t="inlineStr">
        <is>
          <t>a=3</t>
        </is>
      </c>
      <c r="E1" s="1" t="inlineStr">
        <is>
          <t>a=4</t>
        </is>
      </c>
      <c r="F1" s="1" t="inlineStr">
        <is>
          <t>a=5</t>
        </is>
      </c>
      <c r="G1" s="1" t="inlineStr">
        <is>
          <t>a=6</t>
        </is>
      </c>
      <c r="H1" s="1" t="inlineStr">
        <is>
          <t>a=7</t>
        </is>
      </c>
      <c r="I1" s="1" t="inlineStr">
        <is>
          <t>a=8</t>
        </is>
      </c>
      <c r="J1" s="1" t="inlineStr">
        <is>
          <t>a=9</t>
        </is>
      </c>
      <c r="K1" s="1" t="inlineStr">
        <is>
          <t>a=10</t>
        </is>
      </c>
    </row>
    <row r="2">
      <c r="A2" t="n">
        <v>0</v>
      </c>
      <c r="B2">
        <f>'Założenia'!C32</f>
        <v/>
      </c>
      <c r="C2">
        <f>'Założenia'!C33</f>
        <v/>
      </c>
      <c r="D2">
        <f>'Założenia'!C34</f>
        <v/>
      </c>
      <c r="E2">
        <f>'Założenia'!C35</f>
        <v/>
      </c>
      <c r="F2">
        <f>'Założenia'!C36</f>
        <v/>
      </c>
      <c r="G2">
        <f>'Założenia'!C37</f>
        <v/>
      </c>
      <c r="H2">
        <f>'Założenia'!C38</f>
        <v/>
      </c>
      <c r="I2">
        <f>'Założenia'!C39</f>
        <v/>
      </c>
      <c r="J2">
        <f>'Założenia'!C40</f>
        <v/>
      </c>
      <c r="K2">
        <f>'Założenia'!C41</f>
        <v/>
      </c>
    </row>
    <row r="3">
      <c r="A3" t="n">
        <v>1</v>
      </c>
      <c r="B3">
        <f>MAX(0,0-nat_o!B3)</f>
        <v/>
      </c>
      <c r="C3">
        <f>MAX(0,(cb!B2-pu!B3)-nat_o!C3)</f>
        <v/>
      </c>
      <c r="D3">
        <f>MAX(0,(cb!C2-pu!C3)-nat_o!D3)</f>
        <v/>
      </c>
      <c r="E3">
        <f>MAX(0,(cb!D2-pu!D3)-nat_o!E3)</f>
        <v/>
      </c>
      <c r="F3">
        <f>MAX(0,(cb!E2-pu!E3)-nat_o!F3)</f>
        <v/>
      </c>
      <c r="G3">
        <f>MAX(0,(cb!F2-pu!F3)-nat_o!G3)</f>
        <v/>
      </c>
      <c r="H3">
        <f>MAX(0,(cb!G2-pu!G3)-nat_o!H3)</f>
        <v/>
      </c>
      <c r="I3">
        <f>MAX(0,(cb!H2-pu!H3)-nat_o!I3)</f>
        <v/>
      </c>
      <c r="J3">
        <f>MAX(0,(cb!I2-pu!I3)-nat_o!J3)</f>
        <v/>
      </c>
      <c r="K3">
        <f>MAX(0,(cb!J2-pu!J3)-nat_o!K3)</f>
        <v/>
      </c>
    </row>
    <row r="4">
      <c r="A4" t="n">
        <v>2</v>
      </c>
      <c r="B4">
        <f>MAX(0,0-nat_o!B4)</f>
        <v/>
      </c>
      <c r="C4">
        <f>MAX(0,(cb!B3-pu!B4)-nat_o!C4)</f>
        <v/>
      </c>
      <c r="D4">
        <f>MAX(0,(cb!C3-pu!C4)-nat_o!D4)</f>
        <v/>
      </c>
      <c r="E4">
        <f>MAX(0,(cb!D3-pu!D4)-nat_o!E4)</f>
        <v/>
      </c>
      <c r="F4">
        <f>MAX(0,(cb!E3-pu!E4)-nat_o!F4)</f>
        <v/>
      </c>
      <c r="G4">
        <f>MAX(0,(cb!F3-pu!F4)-nat_o!G4)</f>
        <v/>
      </c>
      <c r="H4">
        <f>MAX(0,(cb!G3-pu!G4)-nat_o!H4)</f>
        <v/>
      </c>
      <c r="I4">
        <f>MAX(0,(cb!H3-pu!H4)-nat_o!I4)</f>
        <v/>
      </c>
      <c r="J4">
        <f>MAX(0,(cb!I3-pu!I4)-nat_o!J4)</f>
        <v/>
      </c>
      <c r="K4">
        <f>MAX(0,(cb!J3-pu!J4)-nat_o!K4)</f>
        <v/>
      </c>
    </row>
    <row r="5">
      <c r="A5" t="n">
        <v>3</v>
      </c>
      <c r="B5">
        <f>MAX(0,0-nat_o!B5)</f>
        <v/>
      </c>
      <c r="C5">
        <f>MAX(0,(cb!B4-pu!B5)-nat_o!C5)</f>
        <v/>
      </c>
      <c r="D5">
        <f>MAX(0,(cb!C4-pu!C5)-nat_o!D5)</f>
        <v/>
      </c>
      <c r="E5">
        <f>MAX(0,(cb!D4-pu!D5)-nat_o!E5)</f>
        <v/>
      </c>
      <c r="F5">
        <f>MAX(0,(cb!E4-pu!E5)-nat_o!F5)</f>
        <v/>
      </c>
      <c r="G5">
        <f>MAX(0,(cb!F4-pu!F5)-nat_o!G5)</f>
        <v/>
      </c>
      <c r="H5">
        <f>MAX(0,(cb!G4-pu!G5)-nat_o!H5)</f>
        <v/>
      </c>
      <c r="I5">
        <f>MAX(0,(cb!H4-pu!H5)-nat_o!I5)</f>
        <v/>
      </c>
      <c r="J5">
        <f>MAX(0,(cb!I4-pu!I5)-nat_o!J5)</f>
        <v/>
      </c>
      <c r="K5">
        <f>MAX(0,(cb!J4-pu!J5)-nat_o!K5)</f>
        <v/>
      </c>
    </row>
    <row r="6">
      <c r="A6" t="n">
        <v>4</v>
      </c>
      <c r="B6">
        <f>MAX(0,0-nat_o!B6)</f>
        <v/>
      </c>
      <c r="C6">
        <f>MAX(0,(cb!B5-pu!B6)-nat_o!C6)</f>
        <v/>
      </c>
      <c r="D6">
        <f>MAX(0,(cb!C5-pu!C6)-nat_o!D6)</f>
        <v/>
      </c>
      <c r="E6">
        <f>MAX(0,(cb!D5-pu!D6)-nat_o!E6)</f>
        <v/>
      </c>
      <c r="F6">
        <f>MAX(0,(cb!E5-pu!E6)-nat_o!F6)</f>
        <v/>
      </c>
      <c r="G6">
        <f>MAX(0,(cb!F5-pu!F6)-nat_o!G6)</f>
        <v/>
      </c>
      <c r="H6">
        <f>MAX(0,(cb!G5-pu!G6)-nat_o!H6)</f>
        <v/>
      </c>
      <c r="I6">
        <f>MAX(0,(cb!H5-pu!H6)-nat_o!I6)</f>
        <v/>
      </c>
      <c r="J6">
        <f>MAX(0,(cb!I5-pu!I6)-nat_o!J6)</f>
        <v/>
      </c>
      <c r="K6">
        <f>MAX(0,(cb!J5-pu!J6)-nat_o!K6)</f>
        <v/>
      </c>
    </row>
    <row r="7">
      <c r="A7" t="n">
        <v>5</v>
      </c>
      <c r="B7">
        <f>MAX(0,0-nat_o!B7)</f>
        <v/>
      </c>
      <c r="C7">
        <f>MAX(0,(cb!B6-pu!B7)-nat_o!C7)</f>
        <v/>
      </c>
      <c r="D7">
        <f>MAX(0,(cb!C6-pu!C7)-nat_o!D7)</f>
        <v/>
      </c>
      <c r="E7">
        <f>MAX(0,(cb!D6-pu!D7)-nat_o!E7)</f>
        <v/>
      </c>
      <c r="F7">
        <f>MAX(0,(cb!E6-pu!E7)-nat_o!F7)</f>
        <v/>
      </c>
      <c r="G7">
        <f>MAX(0,(cb!F6-pu!F7)-nat_o!G7)</f>
        <v/>
      </c>
      <c r="H7">
        <f>MAX(0,(cb!G6-pu!G7)-nat_o!H7)</f>
        <v/>
      </c>
      <c r="I7">
        <f>MAX(0,(cb!H6-pu!H7)-nat_o!I7)</f>
        <v/>
      </c>
      <c r="J7">
        <f>MAX(0,(cb!I6-pu!I7)-nat_o!J7)</f>
        <v/>
      </c>
      <c r="K7">
        <f>MAX(0,(cb!J6-pu!J7)-nat_o!K7)</f>
        <v/>
      </c>
    </row>
    <row r="8">
      <c r="A8" t="n">
        <v>6</v>
      </c>
      <c r="B8">
        <f>MAX(0,0-nat_o!B8)</f>
        <v/>
      </c>
      <c r="C8">
        <f>MAX(0,(cb!B7-pu!B8)-nat_o!C8)</f>
        <v/>
      </c>
      <c r="D8">
        <f>MAX(0,(cb!C7-pu!C8)-nat_o!D8)</f>
        <v/>
      </c>
      <c r="E8">
        <f>MAX(0,(cb!D7-pu!D8)-nat_o!E8)</f>
        <v/>
      </c>
      <c r="F8">
        <f>MAX(0,(cb!E7-pu!E8)-nat_o!F8)</f>
        <v/>
      </c>
      <c r="G8">
        <f>MAX(0,(cb!F7-pu!F8)-nat_o!G8)</f>
        <v/>
      </c>
      <c r="H8">
        <f>MAX(0,(cb!G7-pu!G8)-nat_o!H8)</f>
        <v/>
      </c>
      <c r="I8">
        <f>MAX(0,(cb!H7-pu!H8)-nat_o!I8)</f>
        <v/>
      </c>
      <c r="J8">
        <f>MAX(0,(cb!I7-pu!I8)-nat_o!J8)</f>
        <v/>
      </c>
      <c r="K8">
        <f>MAX(0,(cb!J7-pu!J8)-nat_o!K8)</f>
        <v/>
      </c>
    </row>
    <row r="9">
      <c r="A9" t="n">
        <v>7</v>
      </c>
      <c r="B9">
        <f>MAX(0,0-nat_o!B9)</f>
        <v/>
      </c>
      <c r="C9">
        <f>MAX(0,(cb!B8-pu!B9)-nat_o!C9)</f>
        <v/>
      </c>
      <c r="D9">
        <f>MAX(0,(cb!C8-pu!C9)-nat_o!D9)</f>
        <v/>
      </c>
      <c r="E9">
        <f>MAX(0,(cb!D8-pu!D9)-nat_o!E9)</f>
        <v/>
      </c>
      <c r="F9">
        <f>MAX(0,(cb!E8-pu!E9)-nat_o!F9)</f>
        <v/>
      </c>
      <c r="G9">
        <f>MAX(0,(cb!F8-pu!F9)-nat_o!G9)</f>
        <v/>
      </c>
      <c r="H9">
        <f>MAX(0,(cb!G8-pu!G9)-nat_o!H9)</f>
        <v/>
      </c>
      <c r="I9">
        <f>MAX(0,(cb!H8-pu!H9)-nat_o!I9)</f>
        <v/>
      </c>
      <c r="J9">
        <f>MAX(0,(cb!I8-pu!I9)-nat_o!J9)</f>
        <v/>
      </c>
      <c r="K9">
        <f>MAX(0,(cb!J8-pu!J9)-nat_o!K9)</f>
        <v/>
      </c>
    </row>
    <row r="10">
      <c r="A10" t="n">
        <v>8</v>
      </c>
      <c r="B10">
        <f>MAX(0,0-nat_o!B10)</f>
        <v/>
      </c>
      <c r="C10">
        <f>MAX(0,(cb!B9-pu!B10)-nat_o!C10)</f>
        <v/>
      </c>
      <c r="D10">
        <f>MAX(0,(cb!C9-pu!C10)-nat_o!D10)</f>
        <v/>
      </c>
      <c r="E10">
        <f>MAX(0,(cb!D9-pu!D10)-nat_o!E10)</f>
        <v/>
      </c>
      <c r="F10">
        <f>MAX(0,(cb!E9-pu!E10)-nat_o!F10)</f>
        <v/>
      </c>
      <c r="G10">
        <f>MAX(0,(cb!F9-pu!F10)-nat_o!G10)</f>
        <v/>
      </c>
      <c r="H10">
        <f>MAX(0,(cb!G9-pu!G10)-nat_o!H10)</f>
        <v/>
      </c>
      <c r="I10">
        <f>MAX(0,(cb!H9-pu!H10)-nat_o!I10)</f>
        <v/>
      </c>
      <c r="J10">
        <f>MAX(0,(cb!I9-pu!I10)-nat_o!J10)</f>
        <v/>
      </c>
      <c r="K10">
        <f>MAX(0,(cb!J9-pu!J10)-nat_o!K10)</f>
        <v/>
      </c>
    </row>
    <row r="11">
      <c r="A11" t="n">
        <v>9</v>
      </c>
      <c r="B11">
        <f>MAX(0,0-nat_o!B11)</f>
        <v/>
      </c>
      <c r="C11">
        <f>MAX(0,(cb!B10-pu!B11)-nat_o!C11)</f>
        <v/>
      </c>
      <c r="D11">
        <f>MAX(0,(cb!C10-pu!C11)-nat_o!D11)</f>
        <v/>
      </c>
      <c r="E11">
        <f>MAX(0,(cb!D10-pu!D11)-nat_o!E11)</f>
        <v/>
      </c>
      <c r="F11">
        <f>MAX(0,(cb!E10-pu!E11)-nat_o!F11)</f>
        <v/>
      </c>
      <c r="G11">
        <f>MAX(0,(cb!F10-pu!F11)-nat_o!G11)</f>
        <v/>
      </c>
      <c r="H11">
        <f>MAX(0,(cb!G10-pu!G11)-nat_o!H11)</f>
        <v/>
      </c>
      <c r="I11">
        <f>MAX(0,(cb!H10-pu!H11)-nat_o!I11)</f>
        <v/>
      </c>
      <c r="J11">
        <f>MAX(0,(cb!I10-pu!I11)-nat_o!J11)</f>
        <v/>
      </c>
      <c r="K11">
        <f>MAX(0,(cb!J10-pu!J11)-nat_o!K11)</f>
        <v/>
      </c>
    </row>
    <row r="12">
      <c r="A12" t="n">
        <v>10</v>
      </c>
      <c r="B12">
        <f>MAX(0,0-nat_o!B12)</f>
        <v/>
      </c>
      <c r="C12">
        <f>MAX(0,(cb!B11-pu!B12)-nat_o!C12)</f>
        <v/>
      </c>
      <c r="D12">
        <f>MAX(0,(cb!C11-pu!C12)-nat_o!D12)</f>
        <v/>
      </c>
      <c r="E12">
        <f>MAX(0,(cb!D11-pu!D12)-nat_o!E12)</f>
        <v/>
      </c>
      <c r="F12">
        <f>MAX(0,(cb!E11-pu!E12)-nat_o!F12)</f>
        <v/>
      </c>
      <c r="G12">
        <f>MAX(0,(cb!F11-pu!F12)-nat_o!G12)</f>
        <v/>
      </c>
      <c r="H12">
        <f>MAX(0,(cb!G11-pu!G12)-nat_o!H12)</f>
        <v/>
      </c>
      <c r="I12">
        <f>MAX(0,(cb!H11-pu!H12)-nat_o!I12)</f>
        <v/>
      </c>
      <c r="J12">
        <f>MAX(0,(cb!I11-pu!I12)-nat_o!J12)</f>
        <v/>
      </c>
      <c r="K12">
        <f>MAX(0,(cb!J11-pu!J12)-nat_o!K12)</f>
        <v/>
      </c>
    </row>
    <row r="13">
      <c r="A13" t="n">
        <v>11</v>
      </c>
      <c r="B13">
        <f>MAX(0,0-nat_o!B13)</f>
        <v/>
      </c>
      <c r="C13">
        <f>MAX(0,(cb!B12-pu!B13)-nat_o!C13)</f>
        <v/>
      </c>
      <c r="D13">
        <f>MAX(0,(cb!C12-pu!C13)-nat_o!D13)</f>
        <v/>
      </c>
      <c r="E13">
        <f>MAX(0,(cb!D12-pu!D13)-nat_o!E13)</f>
        <v/>
      </c>
      <c r="F13">
        <f>MAX(0,(cb!E12-pu!E13)-nat_o!F13)</f>
        <v/>
      </c>
      <c r="G13">
        <f>MAX(0,(cb!F12-pu!F13)-nat_o!G13)</f>
        <v/>
      </c>
      <c r="H13">
        <f>MAX(0,(cb!G12-pu!G13)-nat_o!H13)</f>
        <v/>
      </c>
      <c r="I13">
        <f>MAX(0,(cb!H12-pu!H13)-nat_o!I13)</f>
        <v/>
      </c>
      <c r="J13">
        <f>MAX(0,(cb!I12-pu!I13)-nat_o!J13)</f>
        <v/>
      </c>
      <c r="K13">
        <f>MAX(0,(cb!J12-pu!J13)-nat_o!K13)</f>
        <v/>
      </c>
    </row>
    <row r="14">
      <c r="A14" t="n">
        <v>12</v>
      </c>
      <c r="B14">
        <f>MAX(0,0-nat_o!B14)</f>
        <v/>
      </c>
      <c r="C14">
        <f>MAX(0,(cb!B13-pu!B14)-nat_o!C14)</f>
        <v/>
      </c>
      <c r="D14">
        <f>MAX(0,(cb!C13-pu!C14)-nat_o!D14)</f>
        <v/>
      </c>
      <c r="E14">
        <f>MAX(0,(cb!D13-pu!D14)-nat_o!E14)</f>
        <v/>
      </c>
      <c r="F14">
        <f>MAX(0,(cb!E13-pu!E14)-nat_o!F14)</f>
        <v/>
      </c>
      <c r="G14">
        <f>MAX(0,(cb!F13-pu!F14)-nat_o!G14)</f>
        <v/>
      </c>
      <c r="H14">
        <f>MAX(0,(cb!G13-pu!G14)-nat_o!H14)</f>
        <v/>
      </c>
      <c r="I14">
        <f>MAX(0,(cb!H13-pu!H14)-nat_o!I14)</f>
        <v/>
      </c>
      <c r="J14">
        <f>MAX(0,(cb!I13-pu!I14)-nat_o!J14)</f>
        <v/>
      </c>
      <c r="K14">
        <f>MAX(0,(cb!J13-pu!J14)-nat_o!K14)</f>
        <v/>
      </c>
    </row>
    <row r="15">
      <c r="A15" t="n">
        <v>13</v>
      </c>
      <c r="B15">
        <f>MAX(0,0-nat_o!B15)</f>
        <v/>
      </c>
      <c r="C15">
        <f>MAX(0,(cb!B14-pu!B15)-nat_o!C15)</f>
        <v/>
      </c>
      <c r="D15">
        <f>MAX(0,(cb!C14-pu!C15)-nat_o!D15)</f>
        <v/>
      </c>
      <c r="E15">
        <f>MAX(0,(cb!D14-pu!D15)-nat_o!E15)</f>
        <v/>
      </c>
      <c r="F15">
        <f>MAX(0,(cb!E14-pu!E15)-nat_o!F15)</f>
        <v/>
      </c>
      <c r="G15">
        <f>MAX(0,(cb!F14-pu!F15)-nat_o!G15)</f>
        <v/>
      </c>
      <c r="H15">
        <f>MAX(0,(cb!G14-pu!G15)-nat_o!H15)</f>
        <v/>
      </c>
      <c r="I15">
        <f>MAX(0,(cb!H14-pu!H15)-nat_o!I15)</f>
        <v/>
      </c>
      <c r="J15">
        <f>MAX(0,(cb!I14-pu!I15)-nat_o!J15)</f>
        <v/>
      </c>
      <c r="K15">
        <f>MAX(0,(cb!J14-pu!J15)-nat_o!K15)</f>
        <v/>
      </c>
    </row>
    <row r="16">
      <c r="A16" t="n">
        <v>14</v>
      </c>
      <c r="B16">
        <f>MAX(0,0-nat_o!B16)</f>
        <v/>
      </c>
      <c r="C16">
        <f>MAX(0,(cb!B15-pu!B16)-nat_o!C16)</f>
        <v/>
      </c>
      <c r="D16">
        <f>MAX(0,(cb!C15-pu!C16)-nat_o!D16)</f>
        <v/>
      </c>
      <c r="E16">
        <f>MAX(0,(cb!D15-pu!D16)-nat_o!E16)</f>
        <v/>
      </c>
      <c r="F16">
        <f>MAX(0,(cb!E15-pu!E16)-nat_o!F16)</f>
        <v/>
      </c>
      <c r="G16">
        <f>MAX(0,(cb!F15-pu!F16)-nat_o!G16)</f>
        <v/>
      </c>
      <c r="H16">
        <f>MAX(0,(cb!G15-pu!G16)-nat_o!H16)</f>
        <v/>
      </c>
      <c r="I16">
        <f>MAX(0,(cb!H15-pu!H16)-nat_o!I16)</f>
        <v/>
      </c>
      <c r="J16">
        <f>MAX(0,(cb!I15-pu!I16)-nat_o!J16)</f>
        <v/>
      </c>
      <c r="K16">
        <f>MAX(0,(cb!J15-pu!J16)-nat_o!K16)</f>
        <v/>
      </c>
    </row>
    <row r="17">
      <c r="A17" t="n">
        <v>15</v>
      </c>
      <c r="B17">
        <f>MAX(0,0-nat_o!B17)</f>
        <v/>
      </c>
      <c r="C17">
        <f>MAX(0,(cb!B16-pu!B17)-nat_o!C17)</f>
        <v/>
      </c>
      <c r="D17">
        <f>MAX(0,(cb!C16-pu!C17)-nat_o!D17)</f>
        <v/>
      </c>
      <c r="E17">
        <f>MAX(0,(cb!D16-pu!D17)-nat_o!E17)</f>
        <v/>
      </c>
      <c r="F17">
        <f>MAX(0,(cb!E16-pu!E17)-nat_o!F17)</f>
        <v/>
      </c>
      <c r="G17">
        <f>MAX(0,(cb!F16-pu!F17)-nat_o!G17)</f>
        <v/>
      </c>
      <c r="H17">
        <f>MAX(0,(cb!G16-pu!G17)-nat_o!H17)</f>
        <v/>
      </c>
      <c r="I17">
        <f>MAX(0,(cb!H16-pu!H17)-nat_o!I17)</f>
        <v/>
      </c>
      <c r="J17">
        <f>MAX(0,(cb!I16-pu!I17)-nat_o!J17)</f>
        <v/>
      </c>
      <c r="K17">
        <f>MAX(0,(cb!J16-pu!J17)-nat_o!K17)</f>
        <v/>
      </c>
    </row>
    <row r="18">
      <c r="A18" t="n">
        <v>16</v>
      </c>
      <c r="B18">
        <f>MAX(0,0-nat_o!B18)</f>
        <v/>
      </c>
      <c r="C18">
        <f>MAX(0,(cb!B17-pu!B18)-nat_o!C18)</f>
        <v/>
      </c>
      <c r="D18">
        <f>MAX(0,(cb!C17-pu!C18)-nat_o!D18)</f>
        <v/>
      </c>
      <c r="E18">
        <f>MAX(0,(cb!D17-pu!D18)-nat_o!E18)</f>
        <v/>
      </c>
      <c r="F18">
        <f>MAX(0,(cb!E17-pu!E18)-nat_o!F18)</f>
        <v/>
      </c>
      <c r="G18">
        <f>MAX(0,(cb!F17-pu!F18)-nat_o!G18)</f>
        <v/>
      </c>
      <c r="H18">
        <f>MAX(0,(cb!G17-pu!G18)-nat_o!H18)</f>
        <v/>
      </c>
      <c r="I18">
        <f>MAX(0,(cb!H17-pu!H18)-nat_o!I18)</f>
        <v/>
      </c>
      <c r="J18">
        <f>MAX(0,(cb!I17-pu!I18)-nat_o!J18)</f>
        <v/>
      </c>
      <c r="K18">
        <f>MAX(0,(cb!J17-pu!J18)-nat_o!K18)</f>
        <v/>
      </c>
    </row>
    <row r="19">
      <c r="A19" t="n">
        <v>17</v>
      </c>
      <c r="B19">
        <f>MAX(0,0-nat_o!B19)</f>
        <v/>
      </c>
      <c r="C19">
        <f>MAX(0,(cb!B18-pu!B19)-nat_o!C19)</f>
        <v/>
      </c>
      <c r="D19">
        <f>MAX(0,(cb!C18-pu!C19)-nat_o!D19)</f>
        <v/>
      </c>
      <c r="E19">
        <f>MAX(0,(cb!D18-pu!D19)-nat_o!E19)</f>
        <v/>
      </c>
      <c r="F19">
        <f>MAX(0,(cb!E18-pu!E19)-nat_o!F19)</f>
        <v/>
      </c>
      <c r="G19">
        <f>MAX(0,(cb!F18-pu!F19)-nat_o!G19)</f>
        <v/>
      </c>
      <c r="H19">
        <f>MAX(0,(cb!G18-pu!G19)-nat_o!H19)</f>
        <v/>
      </c>
      <c r="I19">
        <f>MAX(0,(cb!H18-pu!H19)-nat_o!I19)</f>
        <v/>
      </c>
      <c r="J19">
        <f>MAX(0,(cb!I18-pu!I19)-nat_o!J19)</f>
        <v/>
      </c>
      <c r="K19">
        <f>MAX(0,(cb!J18-pu!J19)-nat_o!K19)</f>
        <v/>
      </c>
    </row>
    <row r="20">
      <c r="A20" t="n">
        <v>18</v>
      </c>
      <c r="B20">
        <f>MAX(0,0-nat_o!B20)</f>
        <v/>
      </c>
      <c r="C20">
        <f>MAX(0,(cb!B19-pu!B20)-nat_o!C20)</f>
        <v/>
      </c>
      <c r="D20">
        <f>MAX(0,(cb!C19-pu!C20)-nat_o!D20)</f>
        <v/>
      </c>
      <c r="E20">
        <f>MAX(0,(cb!D19-pu!D20)-nat_o!E20)</f>
        <v/>
      </c>
      <c r="F20">
        <f>MAX(0,(cb!E19-pu!E20)-nat_o!F20)</f>
        <v/>
      </c>
      <c r="G20">
        <f>MAX(0,(cb!F19-pu!F20)-nat_o!G20)</f>
        <v/>
      </c>
      <c r="H20">
        <f>MAX(0,(cb!G19-pu!G20)-nat_o!H20)</f>
        <v/>
      </c>
      <c r="I20">
        <f>MAX(0,(cb!H19-pu!H20)-nat_o!I20)</f>
        <v/>
      </c>
      <c r="J20">
        <f>MAX(0,(cb!I19-pu!I20)-nat_o!J20)</f>
        <v/>
      </c>
      <c r="K20">
        <f>MAX(0,(cb!J19-pu!J20)-nat_o!K20)</f>
        <v/>
      </c>
    </row>
    <row r="21">
      <c r="A21" t="n">
        <v>19</v>
      </c>
      <c r="B21">
        <f>MAX(0,0-nat_o!B21)</f>
        <v/>
      </c>
      <c r="C21">
        <f>MAX(0,(cb!B20-pu!B21)-nat_o!C21)</f>
        <v/>
      </c>
      <c r="D21">
        <f>MAX(0,(cb!C20-pu!C21)-nat_o!D21)</f>
        <v/>
      </c>
      <c r="E21">
        <f>MAX(0,(cb!D20-pu!D21)-nat_o!E21)</f>
        <v/>
      </c>
      <c r="F21">
        <f>MAX(0,(cb!E20-pu!E21)-nat_o!F21)</f>
        <v/>
      </c>
      <c r="G21">
        <f>MAX(0,(cb!F20-pu!F21)-nat_o!G21)</f>
        <v/>
      </c>
      <c r="H21">
        <f>MAX(0,(cb!G20-pu!G21)-nat_o!H21)</f>
        <v/>
      </c>
      <c r="I21">
        <f>MAX(0,(cb!H20-pu!H21)-nat_o!I21)</f>
        <v/>
      </c>
      <c r="J21">
        <f>MAX(0,(cb!I20-pu!I21)-nat_o!J21)</f>
        <v/>
      </c>
      <c r="K21">
        <f>MAX(0,(cb!J20-pu!J21)-nat_o!K21)</f>
        <v/>
      </c>
    </row>
    <row r="22">
      <c r="A22" t="n">
        <v>20</v>
      </c>
      <c r="B22">
        <f>MAX(0,0-nat_o!B22)</f>
        <v/>
      </c>
      <c r="C22">
        <f>MAX(0,(cb!B21-pu!B22)-nat_o!C22)</f>
        <v/>
      </c>
      <c r="D22">
        <f>MAX(0,(cb!C21-pu!C22)-nat_o!D22)</f>
        <v/>
      </c>
      <c r="E22">
        <f>MAX(0,(cb!D21-pu!D22)-nat_o!E22)</f>
        <v/>
      </c>
      <c r="F22">
        <f>MAX(0,(cb!E21-pu!E22)-nat_o!F22)</f>
        <v/>
      </c>
      <c r="G22">
        <f>MAX(0,(cb!F21-pu!F22)-nat_o!G22)</f>
        <v/>
      </c>
      <c r="H22">
        <f>MAX(0,(cb!G21-pu!G22)-nat_o!H22)</f>
        <v/>
      </c>
      <c r="I22">
        <f>MAX(0,(cb!H21-pu!H22)-nat_o!I22)</f>
        <v/>
      </c>
      <c r="J22">
        <f>MAX(0,(cb!I21-pu!I22)-nat_o!J22)</f>
        <v/>
      </c>
      <c r="K22">
        <f>MAX(0,(cb!J21-pu!J22)-nat_o!K22)</f>
        <v/>
      </c>
    </row>
    <row r="23">
      <c r="A23" t="n">
        <v>21</v>
      </c>
      <c r="B23">
        <f>MAX(0,0-nat_o!B23)</f>
        <v/>
      </c>
      <c r="C23">
        <f>MAX(0,(cb!B22-pu!B23)-nat_o!C23)</f>
        <v/>
      </c>
      <c r="D23">
        <f>MAX(0,(cb!C22-pu!C23)-nat_o!D23)</f>
        <v/>
      </c>
      <c r="E23">
        <f>MAX(0,(cb!D22-pu!D23)-nat_o!E23)</f>
        <v/>
      </c>
      <c r="F23">
        <f>MAX(0,(cb!E22-pu!E23)-nat_o!F23)</f>
        <v/>
      </c>
      <c r="G23">
        <f>MAX(0,(cb!F22-pu!F23)-nat_o!G23)</f>
        <v/>
      </c>
      <c r="H23">
        <f>MAX(0,(cb!G22-pu!G23)-nat_o!H23)</f>
        <v/>
      </c>
      <c r="I23">
        <f>MAX(0,(cb!H22-pu!H23)-nat_o!I23)</f>
        <v/>
      </c>
      <c r="J23">
        <f>MAX(0,(cb!I22-pu!I23)-nat_o!J23)</f>
        <v/>
      </c>
      <c r="K23">
        <f>MAX(0,(cb!J22-pu!J23)-nat_o!K23)</f>
        <v/>
      </c>
    </row>
    <row r="24">
      <c r="A24" t="n">
        <v>22</v>
      </c>
      <c r="B24">
        <f>MAX(0,0-nat_o!B24)</f>
        <v/>
      </c>
      <c r="C24">
        <f>MAX(0,(cb!B23-pu!B24)-nat_o!C24)</f>
        <v/>
      </c>
      <c r="D24">
        <f>MAX(0,(cb!C23-pu!C24)-nat_o!D24)</f>
        <v/>
      </c>
      <c r="E24">
        <f>MAX(0,(cb!D23-pu!D24)-nat_o!E24)</f>
        <v/>
      </c>
      <c r="F24">
        <f>MAX(0,(cb!E23-pu!E24)-nat_o!F24)</f>
        <v/>
      </c>
      <c r="G24">
        <f>MAX(0,(cb!F23-pu!F24)-nat_o!G24)</f>
        <v/>
      </c>
      <c r="H24">
        <f>MAX(0,(cb!G23-pu!G24)-nat_o!H24)</f>
        <v/>
      </c>
      <c r="I24">
        <f>MAX(0,(cb!H23-pu!H24)-nat_o!I24)</f>
        <v/>
      </c>
      <c r="J24">
        <f>MAX(0,(cb!I23-pu!I24)-nat_o!J24)</f>
        <v/>
      </c>
      <c r="K24">
        <f>MAX(0,(cb!J23-pu!J24)-nat_o!K24)</f>
        <v/>
      </c>
    </row>
    <row r="25">
      <c r="A25" t="n">
        <v>23</v>
      </c>
      <c r="B25">
        <f>MAX(0,0-nat_o!B25)</f>
        <v/>
      </c>
      <c r="C25">
        <f>MAX(0,(cb!B24-pu!B25)-nat_o!C25)</f>
        <v/>
      </c>
      <c r="D25">
        <f>MAX(0,(cb!C24-pu!C25)-nat_o!D25)</f>
        <v/>
      </c>
      <c r="E25">
        <f>MAX(0,(cb!D24-pu!D25)-nat_o!E25)</f>
        <v/>
      </c>
      <c r="F25">
        <f>MAX(0,(cb!E24-pu!E25)-nat_o!F25)</f>
        <v/>
      </c>
      <c r="G25">
        <f>MAX(0,(cb!F24-pu!F25)-nat_o!G25)</f>
        <v/>
      </c>
      <c r="H25">
        <f>MAX(0,(cb!G24-pu!G25)-nat_o!H25)</f>
        <v/>
      </c>
      <c r="I25">
        <f>MAX(0,(cb!H24-pu!H25)-nat_o!I25)</f>
        <v/>
      </c>
      <c r="J25">
        <f>MAX(0,(cb!I24-pu!I25)-nat_o!J25)</f>
        <v/>
      </c>
      <c r="K25">
        <f>MAX(0,(cb!J24-pu!J25)-nat_o!K25)</f>
        <v/>
      </c>
    </row>
    <row r="26">
      <c r="A26" t="n">
        <v>24</v>
      </c>
      <c r="B26">
        <f>MAX(0,0-nat_o!B26)</f>
        <v/>
      </c>
      <c r="C26">
        <f>MAX(0,(cb!B25-pu!B26)-nat_o!C26)</f>
        <v/>
      </c>
      <c r="D26">
        <f>MAX(0,(cb!C25-pu!C26)-nat_o!D26)</f>
        <v/>
      </c>
      <c r="E26">
        <f>MAX(0,(cb!D25-pu!D26)-nat_o!E26)</f>
        <v/>
      </c>
      <c r="F26">
        <f>MAX(0,(cb!E25-pu!E26)-nat_o!F26)</f>
        <v/>
      </c>
      <c r="G26">
        <f>MAX(0,(cb!F25-pu!F26)-nat_o!G26)</f>
        <v/>
      </c>
      <c r="H26">
        <f>MAX(0,(cb!G25-pu!G26)-nat_o!H26)</f>
        <v/>
      </c>
      <c r="I26">
        <f>MAX(0,(cb!H25-pu!H26)-nat_o!I26)</f>
        <v/>
      </c>
      <c r="J26">
        <f>MAX(0,(cb!I25-pu!I26)-nat_o!J26)</f>
        <v/>
      </c>
      <c r="K26">
        <f>MAX(0,(cb!J25-pu!J26)-nat_o!K26)</f>
        <v/>
      </c>
    </row>
    <row r="27">
      <c r="A27" t="n">
        <v>25</v>
      </c>
      <c r="B27">
        <f>MAX(0,0-nat_o!B27)</f>
        <v/>
      </c>
      <c r="C27">
        <f>MAX(0,(cb!B26-pu!B27)-nat_o!C27)</f>
        <v/>
      </c>
      <c r="D27">
        <f>MAX(0,(cb!C26-pu!C27)-nat_o!D27)</f>
        <v/>
      </c>
      <c r="E27">
        <f>MAX(0,(cb!D26-pu!D27)-nat_o!E27)</f>
        <v/>
      </c>
      <c r="F27">
        <f>MAX(0,(cb!E26-pu!E27)-nat_o!F27)</f>
        <v/>
      </c>
      <c r="G27">
        <f>MAX(0,(cb!F26-pu!F27)-nat_o!G27)</f>
        <v/>
      </c>
      <c r="H27">
        <f>MAX(0,(cb!G26-pu!G27)-nat_o!H27)</f>
        <v/>
      </c>
      <c r="I27">
        <f>MAX(0,(cb!H26-pu!H27)-nat_o!I27)</f>
        <v/>
      </c>
      <c r="J27">
        <f>MAX(0,(cb!I26-pu!I27)-nat_o!J27)</f>
        <v/>
      </c>
      <c r="K27">
        <f>MAX(0,(cb!J26-pu!J27)-nat_o!K27)</f>
        <v/>
      </c>
    </row>
    <row r="28">
      <c r="A28" t="n">
        <v>26</v>
      </c>
      <c r="B28">
        <f>MAX(0,0-nat_o!B28)</f>
        <v/>
      </c>
      <c r="C28">
        <f>MAX(0,(cb!B27-pu!B28)-nat_o!C28)</f>
        <v/>
      </c>
      <c r="D28">
        <f>MAX(0,(cb!C27-pu!C28)-nat_o!D28)</f>
        <v/>
      </c>
      <c r="E28">
        <f>MAX(0,(cb!D27-pu!D28)-nat_o!E28)</f>
        <v/>
      </c>
      <c r="F28">
        <f>MAX(0,(cb!E27-pu!E28)-nat_o!F28)</f>
        <v/>
      </c>
      <c r="G28">
        <f>MAX(0,(cb!F27-pu!F28)-nat_o!G28)</f>
        <v/>
      </c>
      <c r="H28">
        <f>MAX(0,(cb!G27-pu!G28)-nat_o!H28)</f>
        <v/>
      </c>
      <c r="I28">
        <f>MAX(0,(cb!H27-pu!H28)-nat_o!I28)</f>
        <v/>
      </c>
      <c r="J28">
        <f>MAX(0,(cb!I27-pu!I28)-nat_o!J28)</f>
        <v/>
      </c>
      <c r="K28">
        <f>MAX(0,(cb!J27-pu!J28)-nat_o!K28)</f>
        <v/>
      </c>
    </row>
    <row r="29">
      <c r="A29" t="n">
        <v>27</v>
      </c>
      <c r="B29">
        <f>MAX(0,0-nat_o!B29)</f>
        <v/>
      </c>
      <c r="C29">
        <f>MAX(0,(cb!B28-pu!B29)-nat_o!C29)</f>
        <v/>
      </c>
      <c r="D29">
        <f>MAX(0,(cb!C28-pu!C29)-nat_o!D29)</f>
        <v/>
      </c>
      <c r="E29">
        <f>MAX(0,(cb!D28-pu!D29)-nat_o!E29)</f>
        <v/>
      </c>
      <c r="F29">
        <f>MAX(0,(cb!E28-pu!E29)-nat_o!F29)</f>
        <v/>
      </c>
      <c r="G29">
        <f>MAX(0,(cb!F28-pu!F29)-nat_o!G29)</f>
        <v/>
      </c>
      <c r="H29">
        <f>MAX(0,(cb!G28-pu!G29)-nat_o!H29)</f>
        <v/>
      </c>
      <c r="I29">
        <f>MAX(0,(cb!H28-pu!H29)-nat_o!I29)</f>
        <v/>
      </c>
      <c r="J29">
        <f>MAX(0,(cb!I28-pu!I29)-nat_o!J29)</f>
        <v/>
      </c>
      <c r="K29">
        <f>MAX(0,(cb!J28-pu!J29)-nat_o!K29)</f>
        <v/>
      </c>
    </row>
    <row r="30">
      <c r="A30" t="n">
        <v>28</v>
      </c>
      <c r="B30">
        <f>MAX(0,0-nat_o!B30)</f>
        <v/>
      </c>
      <c r="C30">
        <f>MAX(0,(cb!B29-pu!B30)-nat_o!C30)</f>
        <v/>
      </c>
      <c r="D30">
        <f>MAX(0,(cb!C29-pu!C30)-nat_o!D30)</f>
        <v/>
      </c>
      <c r="E30">
        <f>MAX(0,(cb!D29-pu!D30)-nat_o!E30)</f>
        <v/>
      </c>
      <c r="F30">
        <f>MAX(0,(cb!E29-pu!E30)-nat_o!F30)</f>
        <v/>
      </c>
      <c r="G30">
        <f>MAX(0,(cb!F29-pu!F30)-nat_o!G30)</f>
        <v/>
      </c>
      <c r="H30">
        <f>MAX(0,(cb!G29-pu!G30)-nat_o!H30)</f>
        <v/>
      </c>
      <c r="I30">
        <f>MAX(0,(cb!H29-pu!H30)-nat_o!I30)</f>
        <v/>
      </c>
      <c r="J30">
        <f>MAX(0,(cb!I29-pu!I30)-nat_o!J30)</f>
        <v/>
      </c>
      <c r="K30">
        <f>MAX(0,(cb!J29-pu!J30)-nat_o!K30)</f>
        <v/>
      </c>
    </row>
    <row r="31">
      <c r="A31" t="n">
        <v>29</v>
      </c>
      <c r="B31">
        <f>MAX(0,0-nat_o!B31)</f>
        <v/>
      </c>
      <c r="C31">
        <f>MAX(0,(cb!B30-pu!B31)-nat_o!C31)</f>
        <v/>
      </c>
      <c r="D31">
        <f>MAX(0,(cb!C30-pu!C31)-nat_o!D31)</f>
        <v/>
      </c>
      <c r="E31">
        <f>MAX(0,(cb!D30-pu!D31)-nat_o!E31)</f>
        <v/>
      </c>
      <c r="F31">
        <f>MAX(0,(cb!E30-pu!E31)-nat_o!F31)</f>
        <v/>
      </c>
      <c r="G31">
        <f>MAX(0,(cb!F30-pu!F31)-nat_o!G31)</f>
        <v/>
      </c>
      <c r="H31">
        <f>MAX(0,(cb!G30-pu!G31)-nat_o!H31)</f>
        <v/>
      </c>
      <c r="I31">
        <f>MAX(0,(cb!H30-pu!H31)-nat_o!I31)</f>
        <v/>
      </c>
      <c r="J31">
        <f>MAX(0,(cb!I30-pu!I31)-nat_o!J31)</f>
        <v/>
      </c>
      <c r="K31">
        <f>MAX(0,(cb!J30-pu!J31)-nat_o!K31)</f>
        <v/>
      </c>
    </row>
    <row r="32">
      <c r="A32" t="n">
        <v>30</v>
      </c>
      <c r="B32">
        <f>MAX(0,0-nat_o!B32)</f>
        <v/>
      </c>
      <c r="C32">
        <f>MAX(0,(cb!B31-pu!B32)-nat_o!C32)</f>
        <v/>
      </c>
      <c r="D32">
        <f>MAX(0,(cb!C31-pu!C32)-nat_o!D32)</f>
        <v/>
      </c>
      <c r="E32">
        <f>MAX(0,(cb!D31-pu!D32)-nat_o!E32)</f>
        <v/>
      </c>
      <c r="F32">
        <f>MAX(0,(cb!E31-pu!E32)-nat_o!F32)</f>
        <v/>
      </c>
      <c r="G32">
        <f>MAX(0,(cb!F31-pu!F32)-nat_o!G32)</f>
        <v/>
      </c>
      <c r="H32">
        <f>MAX(0,(cb!G31-pu!G32)-nat_o!H32)</f>
        <v/>
      </c>
      <c r="I32">
        <f>MAX(0,(cb!H31-pu!H32)-nat_o!I32)</f>
        <v/>
      </c>
      <c r="J32">
        <f>MAX(0,(cb!I31-pu!I32)-nat_o!J32)</f>
        <v/>
      </c>
      <c r="K32">
        <f>MAX(0,(cb!J31-pu!J32)-nat_o!K32)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>
      <c r="A1" s="1" t="inlineStr">
        <is>
          <t>t \ a</t>
        </is>
      </c>
      <c r="B1" s="1" t="inlineStr">
        <is>
          <t>a=1</t>
        </is>
      </c>
      <c r="C1" s="1" t="inlineStr">
        <is>
          <t>a=2</t>
        </is>
      </c>
      <c r="D1" s="1" t="inlineStr">
        <is>
          <t>a=3</t>
        </is>
      </c>
      <c r="E1" s="1" t="inlineStr">
        <is>
          <t>a=4</t>
        </is>
      </c>
      <c r="F1" s="1" t="inlineStr">
        <is>
          <t>a=5</t>
        </is>
      </c>
      <c r="G1" s="1" t="inlineStr">
        <is>
          <t>a=6</t>
        </is>
      </c>
      <c r="H1" s="1" t="inlineStr">
        <is>
          <t>a=7</t>
        </is>
      </c>
      <c r="I1" s="1" t="inlineStr">
        <is>
          <t>a=8</t>
        </is>
      </c>
      <c r="J1" s="1" t="inlineStr">
        <is>
          <t>a=9</t>
        </is>
      </c>
      <c r="K1" s="1" t="inlineStr">
        <is>
          <t>a=10</t>
        </is>
      </c>
    </row>
    <row r="2">
      <c r="A2" t="n">
        <v>0</v>
      </c>
      <c r="B2">
        <f>'Założenia'!D32</f>
        <v/>
      </c>
      <c r="C2">
        <f>'Założenia'!D33</f>
        <v/>
      </c>
      <c r="D2">
        <f>'Założenia'!D34</f>
        <v/>
      </c>
      <c r="E2">
        <f>'Założenia'!D35</f>
        <v/>
      </c>
      <c r="F2">
        <f>'Założenia'!D36</f>
        <v/>
      </c>
      <c r="G2">
        <f>'Założenia'!D37</f>
        <v/>
      </c>
      <c r="H2">
        <f>'Założenia'!D38</f>
        <v/>
      </c>
      <c r="I2">
        <f>'Założenia'!D39</f>
        <v/>
      </c>
      <c r="J2">
        <f>'Założenia'!D40</f>
        <v/>
      </c>
      <c r="K2">
        <f>'Założenia'!D41</f>
        <v/>
      </c>
    </row>
    <row r="3">
      <c r="A3" t="n">
        <v>1</v>
      </c>
      <c r="B3">
        <f>MAX(0,SUM(urodz_ch!C3:K3)-nat_ca!B3)</f>
        <v/>
      </c>
      <c r="C3">
        <f>MAX(0,pca!B3-nat_ca!C3)</f>
        <v/>
      </c>
      <c r="D3">
        <f>MAX(0,pca!C3-nat_ca!D3)</f>
        <v/>
      </c>
      <c r="E3">
        <f>MAX(0,pca!D3-nat_ca!E3)</f>
        <v/>
      </c>
      <c r="F3">
        <f>MAX(0,pca!E3-nat_ca!F3)</f>
        <v/>
      </c>
      <c r="G3">
        <f>MAX(0,pca!F3-nat_ca!G3)</f>
        <v/>
      </c>
      <c r="H3">
        <f>MAX(0,pca!G3-nat_ca!H3)</f>
        <v/>
      </c>
      <c r="I3">
        <f>MAX(0,pca!H3-nat_ca!I3)</f>
        <v/>
      </c>
      <c r="J3">
        <f>MAX(0,pca!I3-nat_ca!J3)</f>
        <v/>
      </c>
      <c r="K3">
        <f>MAX(0,pca!J3-nat_ca!K3)</f>
        <v/>
      </c>
    </row>
    <row r="4">
      <c r="A4" t="n">
        <v>2</v>
      </c>
      <c r="B4">
        <f>MAX(0,SUM(urodz_ch!C4:K4)-nat_ca!B4)</f>
        <v/>
      </c>
      <c r="C4">
        <f>MAX(0,pca!B4-nat_ca!C4)</f>
        <v/>
      </c>
      <c r="D4">
        <f>MAX(0,pca!C4-nat_ca!D4)</f>
        <v/>
      </c>
      <c r="E4">
        <f>MAX(0,pca!D4-nat_ca!E4)</f>
        <v/>
      </c>
      <c r="F4">
        <f>MAX(0,pca!E4-nat_ca!F4)</f>
        <v/>
      </c>
      <c r="G4">
        <f>MAX(0,pca!F4-nat_ca!G4)</f>
        <v/>
      </c>
      <c r="H4">
        <f>MAX(0,pca!G4-nat_ca!H4)</f>
        <v/>
      </c>
      <c r="I4">
        <f>MAX(0,pca!H4-nat_ca!I4)</f>
        <v/>
      </c>
      <c r="J4">
        <f>MAX(0,pca!I4-nat_ca!J4)</f>
        <v/>
      </c>
      <c r="K4">
        <f>MAX(0,pca!J4-nat_ca!K4)</f>
        <v/>
      </c>
    </row>
    <row r="5">
      <c r="A5" t="n">
        <v>3</v>
      </c>
      <c r="B5">
        <f>MAX(0,SUM(urodz_ch!C5:K5)-nat_ca!B5)</f>
        <v/>
      </c>
      <c r="C5">
        <f>MAX(0,pca!B5-nat_ca!C5)</f>
        <v/>
      </c>
      <c r="D5">
        <f>MAX(0,pca!C5-nat_ca!D5)</f>
        <v/>
      </c>
      <c r="E5">
        <f>MAX(0,pca!D5-nat_ca!E5)</f>
        <v/>
      </c>
      <c r="F5">
        <f>MAX(0,pca!E5-nat_ca!F5)</f>
        <v/>
      </c>
      <c r="G5">
        <f>MAX(0,pca!F5-nat_ca!G5)</f>
        <v/>
      </c>
      <c r="H5">
        <f>MAX(0,pca!G5-nat_ca!H5)</f>
        <v/>
      </c>
      <c r="I5">
        <f>MAX(0,pca!H5-nat_ca!I5)</f>
        <v/>
      </c>
      <c r="J5">
        <f>MAX(0,pca!I5-nat_ca!J5)</f>
        <v/>
      </c>
      <c r="K5">
        <f>MAX(0,pca!J5-nat_ca!K5)</f>
        <v/>
      </c>
    </row>
    <row r="6">
      <c r="A6" t="n">
        <v>4</v>
      </c>
      <c r="B6">
        <f>MAX(0,SUM(urodz_ch!C6:K6)-nat_ca!B6)</f>
        <v/>
      </c>
      <c r="C6">
        <f>MAX(0,pca!B6-nat_ca!C6)</f>
        <v/>
      </c>
      <c r="D6">
        <f>MAX(0,pca!C6-nat_ca!D6)</f>
        <v/>
      </c>
      <c r="E6">
        <f>MAX(0,pca!D6-nat_ca!E6)</f>
        <v/>
      </c>
      <c r="F6">
        <f>MAX(0,pca!E6-nat_ca!F6)</f>
        <v/>
      </c>
      <c r="G6">
        <f>MAX(0,pca!F6-nat_ca!G6)</f>
        <v/>
      </c>
      <c r="H6">
        <f>MAX(0,pca!G6-nat_ca!H6)</f>
        <v/>
      </c>
      <c r="I6">
        <f>MAX(0,pca!H6-nat_ca!I6)</f>
        <v/>
      </c>
      <c r="J6">
        <f>MAX(0,pca!I6-nat_ca!J6)</f>
        <v/>
      </c>
      <c r="K6">
        <f>MAX(0,pca!J6-nat_ca!K6)</f>
        <v/>
      </c>
    </row>
    <row r="7">
      <c r="A7" t="n">
        <v>5</v>
      </c>
      <c r="B7">
        <f>MAX(0,SUM(urodz_ch!C7:K7)-nat_ca!B7)</f>
        <v/>
      </c>
      <c r="C7">
        <f>MAX(0,pca!B7-nat_ca!C7)</f>
        <v/>
      </c>
      <c r="D7">
        <f>MAX(0,pca!C7-nat_ca!D7)</f>
        <v/>
      </c>
      <c r="E7">
        <f>MAX(0,pca!D7-nat_ca!E7)</f>
        <v/>
      </c>
      <c r="F7">
        <f>MAX(0,pca!E7-nat_ca!F7)</f>
        <v/>
      </c>
      <c r="G7">
        <f>MAX(0,pca!F7-nat_ca!G7)</f>
        <v/>
      </c>
      <c r="H7">
        <f>MAX(0,pca!G7-nat_ca!H7)</f>
        <v/>
      </c>
      <c r="I7">
        <f>MAX(0,pca!H7-nat_ca!I7)</f>
        <v/>
      </c>
      <c r="J7">
        <f>MAX(0,pca!I7-nat_ca!J7)</f>
        <v/>
      </c>
      <c r="K7">
        <f>MAX(0,pca!J7-nat_ca!K7)</f>
        <v/>
      </c>
    </row>
    <row r="8">
      <c r="A8" t="n">
        <v>6</v>
      </c>
      <c r="B8">
        <f>MAX(0,SUM(urodz_ch!C8:K8)-nat_ca!B8)</f>
        <v/>
      </c>
      <c r="C8">
        <f>MAX(0,pca!B8-nat_ca!C8)</f>
        <v/>
      </c>
      <c r="D8">
        <f>MAX(0,pca!C8-nat_ca!D8)</f>
        <v/>
      </c>
      <c r="E8">
        <f>MAX(0,pca!D8-nat_ca!E8)</f>
        <v/>
      </c>
      <c r="F8">
        <f>MAX(0,pca!E8-nat_ca!F8)</f>
        <v/>
      </c>
      <c r="G8">
        <f>MAX(0,pca!F8-nat_ca!G8)</f>
        <v/>
      </c>
      <c r="H8">
        <f>MAX(0,pca!G8-nat_ca!H8)</f>
        <v/>
      </c>
      <c r="I8">
        <f>MAX(0,pca!H8-nat_ca!I8)</f>
        <v/>
      </c>
      <c r="J8">
        <f>MAX(0,pca!I8-nat_ca!J8)</f>
        <v/>
      </c>
      <c r="K8">
        <f>MAX(0,pca!J8-nat_ca!K8)</f>
        <v/>
      </c>
    </row>
    <row r="9">
      <c r="A9" t="n">
        <v>7</v>
      </c>
      <c r="B9">
        <f>MAX(0,SUM(urodz_ch!C9:K9)-nat_ca!B9)</f>
        <v/>
      </c>
      <c r="C9">
        <f>MAX(0,pca!B9-nat_ca!C9)</f>
        <v/>
      </c>
      <c r="D9">
        <f>MAX(0,pca!C9-nat_ca!D9)</f>
        <v/>
      </c>
      <c r="E9">
        <f>MAX(0,pca!D9-nat_ca!E9)</f>
        <v/>
      </c>
      <c r="F9">
        <f>MAX(0,pca!E9-nat_ca!F9)</f>
        <v/>
      </c>
      <c r="G9">
        <f>MAX(0,pca!F9-nat_ca!G9)</f>
        <v/>
      </c>
      <c r="H9">
        <f>MAX(0,pca!G9-nat_ca!H9)</f>
        <v/>
      </c>
      <c r="I9">
        <f>MAX(0,pca!H9-nat_ca!I9)</f>
        <v/>
      </c>
      <c r="J9">
        <f>MAX(0,pca!I9-nat_ca!J9)</f>
        <v/>
      </c>
      <c r="K9">
        <f>MAX(0,pca!J9-nat_ca!K9)</f>
        <v/>
      </c>
    </row>
    <row r="10">
      <c r="A10" t="n">
        <v>8</v>
      </c>
      <c r="B10">
        <f>MAX(0,SUM(urodz_ch!C10:K10)-nat_ca!B10)</f>
        <v/>
      </c>
      <c r="C10">
        <f>MAX(0,pca!B10-nat_ca!C10)</f>
        <v/>
      </c>
      <c r="D10">
        <f>MAX(0,pca!C10-nat_ca!D10)</f>
        <v/>
      </c>
      <c r="E10">
        <f>MAX(0,pca!D10-nat_ca!E10)</f>
        <v/>
      </c>
      <c r="F10">
        <f>MAX(0,pca!E10-nat_ca!F10)</f>
        <v/>
      </c>
      <c r="G10">
        <f>MAX(0,pca!F10-nat_ca!G10)</f>
        <v/>
      </c>
      <c r="H10">
        <f>MAX(0,pca!G10-nat_ca!H10)</f>
        <v/>
      </c>
      <c r="I10">
        <f>MAX(0,pca!H10-nat_ca!I10)</f>
        <v/>
      </c>
      <c r="J10">
        <f>MAX(0,pca!I10-nat_ca!J10)</f>
        <v/>
      </c>
      <c r="K10">
        <f>MAX(0,pca!J10-nat_ca!K10)</f>
        <v/>
      </c>
    </row>
    <row r="11">
      <c r="A11" t="n">
        <v>9</v>
      </c>
      <c r="B11">
        <f>MAX(0,SUM(urodz_ch!C11:K11)-nat_ca!B11)</f>
        <v/>
      </c>
      <c r="C11">
        <f>MAX(0,pca!B11-nat_ca!C11)</f>
        <v/>
      </c>
      <c r="D11">
        <f>MAX(0,pca!C11-nat_ca!D11)</f>
        <v/>
      </c>
      <c r="E11">
        <f>MAX(0,pca!D11-nat_ca!E11)</f>
        <v/>
      </c>
      <c r="F11">
        <f>MAX(0,pca!E11-nat_ca!F11)</f>
        <v/>
      </c>
      <c r="G11">
        <f>MAX(0,pca!F11-nat_ca!G11)</f>
        <v/>
      </c>
      <c r="H11">
        <f>MAX(0,pca!G11-nat_ca!H11)</f>
        <v/>
      </c>
      <c r="I11">
        <f>MAX(0,pca!H11-nat_ca!I11)</f>
        <v/>
      </c>
      <c r="J11">
        <f>MAX(0,pca!I11-nat_ca!J11)</f>
        <v/>
      </c>
      <c r="K11">
        <f>MAX(0,pca!J11-nat_ca!K11)</f>
        <v/>
      </c>
    </row>
    <row r="12">
      <c r="A12" t="n">
        <v>10</v>
      </c>
      <c r="B12">
        <f>MAX(0,SUM(urodz_ch!C12:K12)-nat_ca!B12)</f>
        <v/>
      </c>
      <c r="C12">
        <f>MAX(0,pca!B12-nat_ca!C12)</f>
        <v/>
      </c>
      <c r="D12">
        <f>MAX(0,pca!C12-nat_ca!D12)</f>
        <v/>
      </c>
      <c r="E12">
        <f>MAX(0,pca!D12-nat_ca!E12)</f>
        <v/>
      </c>
      <c r="F12">
        <f>MAX(0,pca!E12-nat_ca!F12)</f>
        <v/>
      </c>
      <c r="G12">
        <f>MAX(0,pca!F12-nat_ca!G12)</f>
        <v/>
      </c>
      <c r="H12">
        <f>MAX(0,pca!G12-nat_ca!H12)</f>
        <v/>
      </c>
      <c r="I12">
        <f>MAX(0,pca!H12-nat_ca!I12)</f>
        <v/>
      </c>
      <c r="J12">
        <f>MAX(0,pca!I12-nat_ca!J12)</f>
        <v/>
      </c>
      <c r="K12">
        <f>MAX(0,pca!J12-nat_ca!K12)</f>
        <v/>
      </c>
    </row>
    <row r="13">
      <c r="A13" t="n">
        <v>11</v>
      </c>
      <c r="B13">
        <f>MAX(0,SUM(urodz_ch!C13:K13)-nat_ca!B13)</f>
        <v/>
      </c>
      <c r="C13">
        <f>MAX(0,pca!B13-nat_ca!C13)</f>
        <v/>
      </c>
      <c r="D13">
        <f>MAX(0,pca!C13-nat_ca!D13)</f>
        <v/>
      </c>
      <c r="E13">
        <f>MAX(0,pca!D13-nat_ca!E13)</f>
        <v/>
      </c>
      <c r="F13">
        <f>MAX(0,pca!E13-nat_ca!F13)</f>
        <v/>
      </c>
      <c r="G13">
        <f>MAX(0,pca!F13-nat_ca!G13)</f>
        <v/>
      </c>
      <c r="H13">
        <f>MAX(0,pca!G13-nat_ca!H13)</f>
        <v/>
      </c>
      <c r="I13">
        <f>MAX(0,pca!H13-nat_ca!I13)</f>
        <v/>
      </c>
      <c r="J13">
        <f>MAX(0,pca!I13-nat_ca!J13)</f>
        <v/>
      </c>
      <c r="K13">
        <f>MAX(0,pca!J13-nat_ca!K13)</f>
        <v/>
      </c>
    </row>
    <row r="14">
      <c r="A14" t="n">
        <v>12</v>
      </c>
      <c r="B14">
        <f>MAX(0,SUM(urodz_ch!C14:K14)-nat_ca!B14)</f>
        <v/>
      </c>
      <c r="C14">
        <f>MAX(0,pca!B14-nat_ca!C14)</f>
        <v/>
      </c>
      <c r="D14">
        <f>MAX(0,pca!C14-nat_ca!D14)</f>
        <v/>
      </c>
      <c r="E14">
        <f>MAX(0,pca!D14-nat_ca!E14)</f>
        <v/>
      </c>
      <c r="F14">
        <f>MAX(0,pca!E14-nat_ca!F14)</f>
        <v/>
      </c>
      <c r="G14">
        <f>MAX(0,pca!F14-nat_ca!G14)</f>
        <v/>
      </c>
      <c r="H14">
        <f>MAX(0,pca!G14-nat_ca!H14)</f>
        <v/>
      </c>
      <c r="I14">
        <f>MAX(0,pca!H14-nat_ca!I14)</f>
        <v/>
      </c>
      <c r="J14">
        <f>MAX(0,pca!I14-nat_ca!J14)</f>
        <v/>
      </c>
      <c r="K14">
        <f>MAX(0,pca!J14-nat_ca!K14)</f>
        <v/>
      </c>
    </row>
    <row r="15">
      <c r="A15" t="n">
        <v>13</v>
      </c>
      <c r="B15">
        <f>MAX(0,SUM(urodz_ch!C15:K15)-nat_ca!B15)</f>
        <v/>
      </c>
      <c r="C15">
        <f>MAX(0,pca!B15-nat_ca!C15)</f>
        <v/>
      </c>
      <c r="D15">
        <f>MAX(0,pca!C15-nat_ca!D15)</f>
        <v/>
      </c>
      <c r="E15">
        <f>MAX(0,pca!D15-nat_ca!E15)</f>
        <v/>
      </c>
      <c r="F15">
        <f>MAX(0,pca!E15-nat_ca!F15)</f>
        <v/>
      </c>
      <c r="G15">
        <f>MAX(0,pca!F15-nat_ca!G15)</f>
        <v/>
      </c>
      <c r="H15">
        <f>MAX(0,pca!G15-nat_ca!H15)</f>
        <v/>
      </c>
      <c r="I15">
        <f>MAX(0,pca!H15-nat_ca!I15)</f>
        <v/>
      </c>
      <c r="J15">
        <f>MAX(0,pca!I15-nat_ca!J15)</f>
        <v/>
      </c>
      <c r="K15">
        <f>MAX(0,pca!J15-nat_ca!K15)</f>
        <v/>
      </c>
    </row>
    <row r="16">
      <c r="A16" t="n">
        <v>14</v>
      </c>
      <c r="B16">
        <f>MAX(0,SUM(urodz_ch!C16:K16)-nat_ca!B16)</f>
        <v/>
      </c>
      <c r="C16">
        <f>MAX(0,pca!B16-nat_ca!C16)</f>
        <v/>
      </c>
      <c r="D16">
        <f>MAX(0,pca!C16-nat_ca!D16)</f>
        <v/>
      </c>
      <c r="E16">
        <f>MAX(0,pca!D16-nat_ca!E16)</f>
        <v/>
      </c>
      <c r="F16">
        <f>MAX(0,pca!E16-nat_ca!F16)</f>
        <v/>
      </c>
      <c r="G16">
        <f>MAX(0,pca!F16-nat_ca!G16)</f>
        <v/>
      </c>
      <c r="H16">
        <f>MAX(0,pca!G16-nat_ca!H16)</f>
        <v/>
      </c>
      <c r="I16">
        <f>MAX(0,pca!H16-nat_ca!I16)</f>
        <v/>
      </c>
      <c r="J16">
        <f>MAX(0,pca!I16-nat_ca!J16)</f>
        <v/>
      </c>
      <c r="K16">
        <f>MAX(0,pca!J16-nat_ca!K16)</f>
        <v/>
      </c>
    </row>
    <row r="17">
      <c r="A17" t="n">
        <v>15</v>
      </c>
      <c r="B17">
        <f>MAX(0,SUM(urodz_ch!C17:K17)-nat_ca!B17)</f>
        <v/>
      </c>
      <c r="C17">
        <f>MAX(0,pca!B17-nat_ca!C17)</f>
        <v/>
      </c>
      <c r="D17">
        <f>MAX(0,pca!C17-nat_ca!D17)</f>
        <v/>
      </c>
      <c r="E17">
        <f>MAX(0,pca!D17-nat_ca!E17)</f>
        <v/>
      </c>
      <c r="F17">
        <f>MAX(0,pca!E17-nat_ca!F17)</f>
        <v/>
      </c>
      <c r="G17">
        <f>MAX(0,pca!F17-nat_ca!G17)</f>
        <v/>
      </c>
      <c r="H17">
        <f>MAX(0,pca!G17-nat_ca!H17)</f>
        <v/>
      </c>
      <c r="I17">
        <f>MAX(0,pca!H17-nat_ca!I17)</f>
        <v/>
      </c>
      <c r="J17">
        <f>MAX(0,pca!I17-nat_ca!J17)</f>
        <v/>
      </c>
      <c r="K17">
        <f>MAX(0,pca!J17-nat_ca!K17)</f>
        <v/>
      </c>
    </row>
    <row r="18">
      <c r="A18" t="n">
        <v>16</v>
      </c>
      <c r="B18">
        <f>MAX(0,SUM(urodz_ch!C18:K18)-nat_ca!B18)</f>
        <v/>
      </c>
      <c r="C18">
        <f>MAX(0,pca!B18-nat_ca!C18)</f>
        <v/>
      </c>
      <c r="D18">
        <f>MAX(0,pca!C18-nat_ca!D18)</f>
        <v/>
      </c>
      <c r="E18">
        <f>MAX(0,pca!D18-nat_ca!E18)</f>
        <v/>
      </c>
      <c r="F18">
        <f>MAX(0,pca!E18-nat_ca!F18)</f>
        <v/>
      </c>
      <c r="G18">
        <f>MAX(0,pca!F18-nat_ca!G18)</f>
        <v/>
      </c>
      <c r="H18">
        <f>MAX(0,pca!G18-nat_ca!H18)</f>
        <v/>
      </c>
      <c r="I18">
        <f>MAX(0,pca!H18-nat_ca!I18)</f>
        <v/>
      </c>
      <c r="J18">
        <f>MAX(0,pca!I18-nat_ca!J18)</f>
        <v/>
      </c>
      <c r="K18">
        <f>MAX(0,pca!J18-nat_ca!K18)</f>
        <v/>
      </c>
    </row>
    <row r="19">
      <c r="A19" t="n">
        <v>17</v>
      </c>
      <c r="B19">
        <f>MAX(0,SUM(urodz_ch!C19:K19)-nat_ca!B19)</f>
        <v/>
      </c>
      <c r="C19">
        <f>MAX(0,pca!B19-nat_ca!C19)</f>
        <v/>
      </c>
      <c r="D19">
        <f>MAX(0,pca!C19-nat_ca!D19)</f>
        <v/>
      </c>
      <c r="E19">
        <f>MAX(0,pca!D19-nat_ca!E19)</f>
        <v/>
      </c>
      <c r="F19">
        <f>MAX(0,pca!E19-nat_ca!F19)</f>
        <v/>
      </c>
      <c r="G19">
        <f>MAX(0,pca!F19-nat_ca!G19)</f>
        <v/>
      </c>
      <c r="H19">
        <f>MAX(0,pca!G19-nat_ca!H19)</f>
        <v/>
      </c>
      <c r="I19">
        <f>MAX(0,pca!H19-nat_ca!I19)</f>
        <v/>
      </c>
      <c r="J19">
        <f>MAX(0,pca!I19-nat_ca!J19)</f>
        <v/>
      </c>
      <c r="K19">
        <f>MAX(0,pca!J19-nat_ca!K19)</f>
        <v/>
      </c>
    </row>
    <row r="20">
      <c r="A20" t="n">
        <v>18</v>
      </c>
      <c r="B20">
        <f>MAX(0,SUM(urodz_ch!C20:K20)-nat_ca!B20)</f>
        <v/>
      </c>
      <c r="C20">
        <f>MAX(0,pca!B20-nat_ca!C20)</f>
        <v/>
      </c>
      <c r="D20">
        <f>MAX(0,pca!C20-nat_ca!D20)</f>
        <v/>
      </c>
      <c r="E20">
        <f>MAX(0,pca!D20-nat_ca!E20)</f>
        <v/>
      </c>
      <c r="F20">
        <f>MAX(0,pca!E20-nat_ca!F20)</f>
        <v/>
      </c>
      <c r="G20">
        <f>MAX(0,pca!F20-nat_ca!G20)</f>
        <v/>
      </c>
      <c r="H20">
        <f>MAX(0,pca!G20-nat_ca!H20)</f>
        <v/>
      </c>
      <c r="I20">
        <f>MAX(0,pca!H20-nat_ca!I20)</f>
        <v/>
      </c>
      <c r="J20">
        <f>MAX(0,pca!I20-nat_ca!J20)</f>
        <v/>
      </c>
      <c r="K20">
        <f>MAX(0,pca!J20-nat_ca!K20)</f>
        <v/>
      </c>
    </row>
    <row r="21">
      <c r="A21" t="n">
        <v>19</v>
      </c>
      <c r="B21">
        <f>MAX(0,SUM(urodz_ch!C21:K21)-nat_ca!B21)</f>
        <v/>
      </c>
      <c r="C21">
        <f>MAX(0,pca!B21-nat_ca!C21)</f>
        <v/>
      </c>
      <c r="D21">
        <f>MAX(0,pca!C21-nat_ca!D21)</f>
        <v/>
      </c>
      <c r="E21">
        <f>MAX(0,pca!D21-nat_ca!E21)</f>
        <v/>
      </c>
      <c r="F21">
        <f>MAX(0,pca!E21-nat_ca!F21)</f>
        <v/>
      </c>
      <c r="G21">
        <f>MAX(0,pca!F21-nat_ca!G21)</f>
        <v/>
      </c>
      <c r="H21">
        <f>MAX(0,pca!G21-nat_ca!H21)</f>
        <v/>
      </c>
      <c r="I21">
        <f>MAX(0,pca!H21-nat_ca!I21)</f>
        <v/>
      </c>
      <c r="J21">
        <f>MAX(0,pca!I21-nat_ca!J21)</f>
        <v/>
      </c>
      <c r="K21">
        <f>MAX(0,pca!J21-nat_ca!K21)</f>
        <v/>
      </c>
    </row>
    <row r="22">
      <c r="A22" t="n">
        <v>20</v>
      </c>
      <c r="B22">
        <f>MAX(0,SUM(urodz_ch!C22:K22)-nat_ca!B22)</f>
        <v/>
      </c>
      <c r="C22">
        <f>MAX(0,pca!B22-nat_ca!C22)</f>
        <v/>
      </c>
      <c r="D22">
        <f>MAX(0,pca!C22-nat_ca!D22)</f>
        <v/>
      </c>
      <c r="E22">
        <f>MAX(0,pca!D22-nat_ca!E22)</f>
        <v/>
      </c>
      <c r="F22">
        <f>MAX(0,pca!E22-nat_ca!F22)</f>
        <v/>
      </c>
      <c r="G22">
        <f>MAX(0,pca!F22-nat_ca!G22)</f>
        <v/>
      </c>
      <c r="H22">
        <f>MAX(0,pca!G22-nat_ca!H22)</f>
        <v/>
      </c>
      <c r="I22">
        <f>MAX(0,pca!H22-nat_ca!I22)</f>
        <v/>
      </c>
      <c r="J22">
        <f>MAX(0,pca!I22-nat_ca!J22)</f>
        <v/>
      </c>
      <c r="K22">
        <f>MAX(0,pca!J22-nat_ca!K22)</f>
        <v/>
      </c>
    </row>
    <row r="23">
      <c r="A23" t="n">
        <v>21</v>
      </c>
      <c r="B23">
        <f>MAX(0,SUM(urodz_ch!C23:K23)-nat_ca!B23)</f>
        <v/>
      </c>
      <c r="C23">
        <f>MAX(0,pca!B23-nat_ca!C23)</f>
        <v/>
      </c>
      <c r="D23">
        <f>MAX(0,pca!C23-nat_ca!D23)</f>
        <v/>
      </c>
      <c r="E23">
        <f>MAX(0,pca!D23-nat_ca!E23)</f>
        <v/>
      </c>
      <c r="F23">
        <f>MAX(0,pca!E23-nat_ca!F23)</f>
        <v/>
      </c>
      <c r="G23">
        <f>MAX(0,pca!F23-nat_ca!G23)</f>
        <v/>
      </c>
      <c r="H23">
        <f>MAX(0,pca!G23-nat_ca!H23)</f>
        <v/>
      </c>
      <c r="I23">
        <f>MAX(0,pca!H23-nat_ca!I23)</f>
        <v/>
      </c>
      <c r="J23">
        <f>MAX(0,pca!I23-nat_ca!J23)</f>
        <v/>
      </c>
      <c r="K23">
        <f>MAX(0,pca!J23-nat_ca!K23)</f>
        <v/>
      </c>
    </row>
    <row r="24">
      <c r="A24" t="n">
        <v>22</v>
      </c>
      <c r="B24">
        <f>MAX(0,SUM(urodz_ch!C24:K24)-nat_ca!B24)</f>
        <v/>
      </c>
      <c r="C24">
        <f>MAX(0,pca!B24-nat_ca!C24)</f>
        <v/>
      </c>
      <c r="D24">
        <f>MAX(0,pca!C24-nat_ca!D24)</f>
        <v/>
      </c>
      <c r="E24">
        <f>MAX(0,pca!D24-nat_ca!E24)</f>
        <v/>
      </c>
      <c r="F24">
        <f>MAX(0,pca!E24-nat_ca!F24)</f>
        <v/>
      </c>
      <c r="G24">
        <f>MAX(0,pca!F24-nat_ca!G24)</f>
        <v/>
      </c>
      <c r="H24">
        <f>MAX(0,pca!G24-nat_ca!H24)</f>
        <v/>
      </c>
      <c r="I24">
        <f>MAX(0,pca!H24-nat_ca!I24)</f>
        <v/>
      </c>
      <c r="J24">
        <f>MAX(0,pca!I24-nat_ca!J24)</f>
        <v/>
      </c>
      <c r="K24">
        <f>MAX(0,pca!J24-nat_ca!K24)</f>
        <v/>
      </c>
    </row>
    <row r="25">
      <c r="A25" t="n">
        <v>23</v>
      </c>
      <c r="B25">
        <f>MAX(0,SUM(urodz_ch!C25:K25)-nat_ca!B25)</f>
        <v/>
      </c>
      <c r="C25">
        <f>MAX(0,pca!B25-nat_ca!C25)</f>
        <v/>
      </c>
      <c r="D25">
        <f>MAX(0,pca!C25-nat_ca!D25)</f>
        <v/>
      </c>
      <c r="E25">
        <f>MAX(0,pca!D25-nat_ca!E25)</f>
        <v/>
      </c>
      <c r="F25">
        <f>MAX(0,pca!E25-nat_ca!F25)</f>
        <v/>
      </c>
      <c r="G25">
        <f>MAX(0,pca!F25-nat_ca!G25)</f>
        <v/>
      </c>
      <c r="H25">
        <f>MAX(0,pca!G25-nat_ca!H25)</f>
        <v/>
      </c>
      <c r="I25">
        <f>MAX(0,pca!H25-nat_ca!I25)</f>
        <v/>
      </c>
      <c r="J25">
        <f>MAX(0,pca!I25-nat_ca!J25)</f>
        <v/>
      </c>
      <c r="K25">
        <f>MAX(0,pca!J25-nat_ca!K25)</f>
        <v/>
      </c>
    </row>
    <row r="26">
      <c r="A26" t="n">
        <v>24</v>
      </c>
      <c r="B26">
        <f>MAX(0,SUM(urodz_ch!C26:K26)-nat_ca!B26)</f>
        <v/>
      </c>
      <c r="C26">
        <f>MAX(0,pca!B26-nat_ca!C26)</f>
        <v/>
      </c>
      <c r="D26">
        <f>MAX(0,pca!C26-nat_ca!D26)</f>
        <v/>
      </c>
      <c r="E26">
        <f>MAX(0,pca!D26-nat_ca!E26)</f>
        <v/>
      </c>
      <c r="F26">
        <f>MAX(0,pca!E26-nat_ca!F26)</f>
        <v/>
      </c>
      <c r="G26">
        <f>MAX(0,pca!F26-nat_ca!G26)</f>
        <v/>
      </c>
      <c r="H26">
        <f>MAX(0,pca!G26-nat_ca!H26)</f>
        <v/>
      </c>
      <c r="I26">
        <f>MAX(0,pca!H26-nat_ca!I26)</f>
        <v/>
      </c>
      <c r="J26">
        <f>MAX(0,pca!I26-nat_ca!J26)</f>
        <v/>
      </c>
      <c r="K26">
        <f>MAX(0,pca!J26-nat_ca!K26)</f>
        <v/>
      </c>
    </row>
    <row r="27">
      <c r="A27" t="n">
        <v>25</v>
      </c>
      <c r="B27">
        <f>MAX(0,SUM(urodz_ch!C27:K27)-nat_ca!B27)</f>
        <v/>
      </c>
      <c r="C27">
        <f>MAX(0,pca!B27-nat_ca!C27)</f>
        <v/>
      </c>
      <c r="D27">
        <f>MAX(0,pca!C27-nat_ca!D27)</f>
        <v/>
      </c>
      <c r="E27">
        <f>MAX(0,pca!D27-nat_ca!E27)</f>
        <v/>
      </c>
      <c r="F27">
        <f>MAX(0,pca!E27-nat_ca!F27)</f>
        <v/>
      </c>
      <c r="G27">
        <f>MAX(0,pca!F27-nat_ca!G27)</f>
        <v/>
      </c>
      <c r="H27">
        <f>MAX(0,pca!G27-nat_ca!H27)</f>
        <v/>
      </c>
      <c r="I27">
        <f>MAX(0,pca!H27-nat_ca!I27)</f>
        <v/>
      </c>
      <c r="J27">
        <f>MAX(0,pca!I27-nat_ca!J27)</f>
        <v/>
      </c>
      <c r="K27">
        <f>MAX(0,pca!J27-nat_ca!K27)</f>
        <v/>
      </c>
    </row>
    <row r="28">
      <c r="A28" t="n">
        <v>26</v>
      </c>
      <c r="B28">
        <f>MAX(0,SUM(urodz_ch!C28:K28)-nat_ca!B28)</f>
        <v/>
      </c>
      <c r="C28">
        <f>MAX(0,pca!B28-nat_ca!C28)</f>
        <v/>
      </c>
      <c r="D28">
        <f>MAX(0,pca!C28-nat_ca!D28)</f>
        <v/>
      </c>
      <c r="E28">
        <f>MAX(0,pca!D28-nat_ca!E28)</f>
        <v/>
      </c>
      <c r="F28">
        <f>MAX(0,pca!E28-nat_ca!F28)</f>
        <v/>
      </c>
      <c r="G28">
        <f>MAX(0,pca!F28-nat_ca!G28)</f>
        <v/>
      </c>
      <c r="H28">
        <f>MAX(0,pca!G28-nat_ca!H28)</f>
        <v/>
      </c>
      <c r="I28">
        <f>MAX(0,pca!H28-nat_ca!I28)</f>
        <v/>
      </c>
      <c r="J28">
        <f>MAX(0,pca!I28-nat_ca!J28)</f>
        <v/>
      </c>
      <c r="K28">
        <f>MAX(0,pca!J28-nat_ca!K28)</f>
        <v/>
      </c>
    </row>
    <row r="29">
      <c r="A29" t="n">
        <v>27</v>
      </c>
      <c r="B29">
        <f>MAX(0,SUM(urodz_ch!C29:K29)-nat_ca!B29)</f>
        <v/>
      </c>
      <c r="C29">
        <f>MAX(0,pca!B29-nat_ca!C29)</f>
        <v/>
      </c>
      <c r="D29">
        <f>MAX(0,pca!C29-nat_ca!D29)</f>
        <v/>
      </c>
      <c r="E29">
        <f>MAX(0,pca!D29-nat_ca!E29)</f>
        <v/>
      </c>
      <c r="F29">
        <f>MAX(0,pca!E29-nat_ca!F29)</f>
        <v/>
      </c>
      <c r="G29">
        <f>MAX(0,pca!F29-nat_ca!G29)</f>
        <v/>
      </c>
      <c r="H29">
        <f>MAX(0,pca!G29-nat_ca!H29)</f>
        <v/>
      </c>
      <c r="I29">
        <f>MAX(0,pca!H29-nat_ca!I29)</f>
        <v/>
      </c>
      <c r="J29">
        <f>MAX(0,pca!I29-nat_ca!J29)</f>
        <v/>
      </c>
      <c r="K29">
        <f>MAX(0,pca!J29-nat_ca!K29)</f>
        <v/>
      </c>
    </row>
    <row r="30">
      <c r="A30" t="n">
        <v>28</v>
      </c>
      <c r="B30">
        <f>MAX(0,SUM(urodz_ch!C30:K30)-nat_ca!B30)</f>
        <v/>
      </c>
      <c r="C30">
        <f>MAX(0,pca!B30-nat_ca!C30)</f>
        <v/>
      </c>
      <c r="D30">
        <f>MAX(0,pca!C30-nat_ca!D30)</f>
        <v/>
      </c>
      <c r="E30">
        <f>MAX(0,pca!D30-nat_ca!E30)</f>
        <v/>
      </c>
      <c r="F30">
        <f>MAX(0,pca!E30-nat_ca!F30)</f>
        <v/>
      </c>
      <c r="G30">
        <f>MAX(0,pca!F30-nat_ca!G30)</f>
        <v/>
      </c>
      <c r="H30">
        <f>MAX(0,pca!G30-nat_ca!H30)</f>
        <v/>
      </c>
      <c r="I30">
        <f>MAX(0,pca!H30-nat_ca!I30)</f>
        <v/>
      </c>
      <c r="J30">
        <f>MAX(0,pca!I30-nat_ca!J30)</f>
        <v/>
      </c>
      <c r="K30">
        <f>MAX(0,pca!J30-nat_ca!K30)</f>
        <v/>
      </c>
    </row>
    <row r="31">
      <c r="A31" t="n">
        <v>29</v>
      </c>
      <c r="B31">
        <f>MAX(0,SUM(urodz_ch!C31:K31)-nat_ca!B31)</f>
        <v/>
      </c>
      <c r="C31">
        <f>MAX(0,pca!B31-nat_ca!C31)</f>
        <v/>
      </c>
      <c r="D31">
        <f>MAX(0,pca!C31-nat_ca!D31)</f>
        <v/>
      </c>
      <c r="E31">
        <f>MAX(0,pca!D31-nat_ca!E31)</f>
        <v/>
      </c>
      <c r="F31">
        <f>MAX(0,pca!E31-nat_ca!F31)</f>
        <v/>
      </c>
      <c r="G31">
        <f>MAX(0,pca!F31-nat_ca!G31)</f>
        <v/>
      </c>
      <c r="H31">
        <f>MAX(0,pca!G31-nat_ca!H31)</f>
        <v/>
      </c>
      <c r="I31">
        <f>MAX(0,pca!H31-nat_ca!I31)</f>
        <v/>
      </c>
      <c r="J31">
        <f>MAX(0,pca!I31-nat_ca!J31)</f>
        <v/>
      </c>
      <c r="K31">
        <f>MAX(0,pca!J31-nat_ca!K31)</f>
        <v/>
      </c>
    </row>
    <row r="32">
      <c r="A32" t="n">
        <v>30</v>
      </c>
      <c r="B32">
        <f>MAX(0,SUM(urodz_ch!C32:K32)-nat_ca!B32)</f>
        <v/>
      </c>
      <c r="C32">
        <f>MAX(0,pca!B32-nat_ca!C32)</f>
        <v/>
      </c>
      <c r="D32">
        <f>MAX(0,pca!C32-nat_ca!D32)</f>
        <v/>
      </c>
      <c r="E32">
        <f>MAX(0,pca!D32-nat_ca!E32)</f>
        <v/>
      </c>
      <c r="F32">
        <f>MAX(0,pca!E32-nat_ca!F32)</f>
        <v/>
      </c>
      <c r="G32">
        <f>MAX(0,pca!F32-nat_ca!G32)</f>
        <v/>
      </c>
      <c r="H32">
        <f>MAX(0,pca!G32-nat_ca!H32)</f>
        <v/>
      </c>
      <c r="I32">
        <f>MAX(0,pca!H32-nat_ca!I32)</f>
        <v/>
      </c>
      <c r="J32">
        <f>MAX(0,pca!I32-nat_ca!J32)</f>
        <v/>
      </c>
      <c r="K32">
        <f>MAX(0,pca!J32-nat_ca!K32)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>
      <c r="A1" s="1" t="inlineStr">
        <is>
          <t>t \ a</t>
        </is>
      </c>
      <c r="B1" s="1" t="inlineStr">
        <is>
          <t>a=1</t>
        </is>
      </c>
      <c r="C1" s="1" t="inlineStr">
        <is>
          <t>a=2</t>
        </is>
      </c>
      <c r="D1" s="1" t="inlineStr">
        <is>
          <t>a=3</t>
        </is>
      </c>
      <c r="E1" s="1" t="inlineStr">
        <is>
          <t>a=4</t>
        </is>
      </c>
      <c r="F1" s="1" t="inlineStr">
        <is>
          <t>a=5</t>
        </is>
      </c>
      <c r="G1" s="1" t="inlineStr">
        <is>
          <t>a=6</t>
        </is>
      </c>
      <c r="H1" s="1" t="inlineStr">
        <is>
          <t>a=7</t>
        </is>
      </c>
      <c r="I1" s="1" t="inlineStr">
        <is>
          <t>a=8</t>
        </is>
      </c>
      <c r="J1" s="1" t="inlineStr">
        <is>
          <t>a=9</t>
        </is>
      </c>
      <c r="K1" s="1" t="inlineStr">
        <is>
          <t>a=10</t>
        </is>
      </c>
    </row>
    <row r="2">
      <c r="A2" t="n">
        <v>0</v>
      </c>
      <c r="B2">
        <f>'Założenia'!E32</f>
        <v/>
      </c>
      <c r="C2">
        <f>'Założenia'!E33</f>
        <v/>
      </c>
      <c r="D2">
        <f>'Założenia'!E34</f>
        <v/>
      </c>
      <c r="E2">
        <f>'Założenia'!E35</f>
        <v/>
      </c>
      <c r="F2">
        <f>'Założenia'!E36</f>
        <v/>
      </c>
      <c r="G2">
        <f>'Założenia'!E37</f>
        <v/>
      </c>
      <c r="H2">
        <f>'Założenia'!E38</f>
        <v/>
      </c>
      <c r="I2">
        <f>'Założenia'!E39</f>
        <v/>
      </c>
      <c r="J2">
        <f>'Założenia'!E40</f>
        <v/>
      </c>
      <c r="K2">
        <f>'Założenia'!E41</f>
        <v/>
      </c>
    </row>
    <row r="3">
      <c r="A3" t="n">
        <v>1</v>
      </c>
      <c r="B3">
        <f>MAX(0,0-nat_cb!B3)</f>
        <v/>
      </c>
      <c r="C3">
        <f>MAX(0,ca!B2-nat_cb!C3)</f>
        <v/>
      </c>
      <c r="D3">
        <f>MAX(0,ca!C2-nat_cb!D3)</f>
        <v/>
      </c>
      <c r="E3">
        <f>MAX(0,ca!D2-nat_cb!E3)</f>
        <v/>
      </c>
      <c r="F3">
        <f>MAX(0,ca!E2-nat_cb!F3)</f>
        <v/>
      </c>
      <c r="G3">
        <f>MAX(0,ca!F2-nat_cb!G3)</f>
        <v/>
      </c>
      <c r="H3">
        <f>MAX(0,ca!G2-nat_cb!H3)</f>
        <v/>
      </c>
      <c r="I3">
        <f>MAX(0,ca!H2-nat_cb!I3)</f>
        <v/>
      </c>
      <c r="J3">
        <f>MAX(0,ca!I2-nat_cb!J3)</f>
        <v/>
      </c>
      <c r="K3">
        <f>MAX(0,ca!J2-nat_cb!K3)</f>
        <v/>
      </c>
    </row>
    <row r="4">
      <c r="A4" t="n">
        <v>2</v>
      </c>
      <c r="B4">
        <f>MAX(0,0-nat_cb!B4)</f>
        <v/>
      </c>
      <c r="C4">
        <f>MAX(0,ca!B3-nat_cb!C4)</f>
        <v/>
      </c>
      <c r="D4">
        <f>MAX(0,ca!C3-nat_cb!D4)</f>
        <v/>
      </c>
      <c r="E4">
        <f>MAX(0,ca!D3-nat_cb!E4)</f>
        <v/>
      </c>
      <c r="F4">
        <f>MAX(0,ca!E3-nat_cb!F4)</f>
        <v/>
      </c>
      <c r="G4">
        <f>MAX(0,ca!F3-nat_cb!G4)</f>
        <v/>
      </c>
      <c r="H4">
        <f>MAX(0,ca!G3-nat_cb!H4)</f>
        <v/>
      </c>
      <c r="I4">
        <f>MAX(0,ca!H3-nat_cb!I4)</f>
        <v/>
      </c>
      <c r="J4">
        <f>MAX(0,ca!I3-nat_cb!J4)</f>
        <v/>
      </c>
      <c r="K4">
        <f>MAX(0,ca!J3-nat_cb!K4)</f>
        <v/>
      </c>
    </row>
    <row r="5">
      <c r="A5" t="n">
        <v>3</v>
      </c>
      <c r="B5">
        <f>MAX(0,0-nat_cb!B5)</f>
        <v/>
      </c>
      <c r="C5">
        <f>MAX(0,ca!B4-nat_cb!C5)</f>
        <v/>
      </c>
      <c r="D5">
        <f>MAX(0,ca!C4-nat_cb!D5)</f>
        <v/>
      </c>
      <c r="E5">
        <f>MAX(0,ca!D4-nat_cb!E5)</f>
        <v/>
      </c>
      <c r="F5">
        <f>MAX(0,ca!E4-nat_cb!F5)</f>
        <v/>
      </c>
      <c r="G5">
        <f>MAX(0,ca!F4-nat_cb!G5)</f>
        <v/>
      </c>
      <c r="H5">
        <f>MAX(0,ca!G4-nat_cb!H5)</f>
        <v/>
      </c>
      <c r="I5">
        <f>MAX(0,ca!H4-nat_cb!I5)</f>
        <v/>
      </c>
      <c r="J5">
        <f>MAX(0,ca!I4-nat_cb!J5)</f>
        <v/>
      </c>
      <c r="K5">
        <f>MAX(0,ca!J4-nat_cb!K5)</f>
        <v/>
      </c>
    </row>
    <row r="6">
      <c r="A6" t="n">
        <v>4</v>
      </c>
      <c r="B6">
        <f>MAX(0,0-nat_cb!B6)</f>
        <v/>
      </c>
      <c r="C6">
        <f>MAX(0,ca!B5-nat_cb!C6)</f>
        <v/>
      </c>
      <c r="D6">
        <f>MAX(0,ca!C5-nat_cb!D6)</f>
        <v/>
      </c>
      <c r="E6">
        <f>MAX(0,ca!D5-nat_cb!E6)</f>
        <v/>
      </c>
      <c r="F6">
        <f>MAX(0,ca!E5-nat_cb!F6)</f>
        <v/>
      </c>
      <c r="G6">
        <f>MAX(0,ca!F5-nat_cb!G6)</f>
        <v/>
      </c>
      <c r="H6">
        <f>MAX(0,ca!G5-nat_cb!H6)</f>
        <v/>
      </c>
      <c r="I6">
        <f>MAX(0,ca!H5-nat_cb!I6)</f>
        <v/>
      </c>
      <c r="J6">
        <f>MAX(0,ca!I5-nat_cb!J6)</f>
        <v/>
      </c>
      <c r="K6">
        <f>MAX(0,ca!J5-nat_cb!K6)</f>
        <v/>
      </c>
    </row>
    <row r="7">
      <c r="A7" t="n">
        <v>5</v>
      </c>
      <c r="B7">
        <f>MAX(0,0-nat_cb!B7)</f>
        <v/>
      </c>
      <c r="C7">
        <f>MAX(0,ca!B6-nat_cb!C7)</f>
        <v/>
      </c>
      <c r="D7">
        <f>MAX(0,ca!C6-nat_cb!D7)</f>
        <v/>
      </c>
      <c r="E7">
        <f>MAX(0,ca!D6-nat_cb!E7)</f>
        <v/>
      </c>
      <c r="F7">
        <f>MAX(0,ca!E6-nat_cb!F7)</f>
        <v/>
      </c>
      <c r="G7">
        <f>MAX(0,ca!F6-nat_cb!G7)</f>
        <v/>
      </c>
      <c r="H7">
        <f>MAX(0,ca!G6-nat_cb!H7)</f>
        <v/>
      </c>
      <c r="I7">
        <f>MAX(0,ca!H6-nat_cb!I7)</f>
        <v/>
      </c>
      <c r="J7">
        <f>MAX(0,ca!I6-nat_cb!J7)</f>
        <v/>
      </c>
      <c r="K7">
        <f>MAX(0,ca!J6-nat_cb!K7)</f>
        <v/>
      </c>
    </row>
    <row r="8">
      <c r="A8" t="n">
        <v>6</v>
      </c>
      <c r="B8">
        <f>MAX(0,0-nat_cb!B8)</f>
        <v/>
      </c>
      <c r="C8">
        <f>MAX(0,ca!B7-nat_cb!C8)</f>
        <v/>
      </c>
      <c r="D8">
        <f>MAX(0,ca!C7-nat_cb!D8)</f>
        <v/>
      </c>
      <c r="E8">
        <f>MAX(0,ca!D7-nat_cb!E8)</f>
        <v/>
      </c>
      <c r="F8">
        <f>MAX(0,ca!E7-nat_cb!F8)</f>
        <v/>
      </c>
      <c r="G8">
        <f>MAX(0,ca!F7-nat_cb!G8)</f>
        <v/>
      </c>
      <c r="H8">
        <f>MAX(0,ca!G7-nat_cb!H8)</f>
        <v/>
      </c>
      <c r="I8">
        <f>MAX(0,ca!H7-nat_cb!I8)</f>
        <v/>
      </c>
      <c r="J8">
        <f>MAX(0,ca!I7-nat_cb!J8)</f>
        <v/>
      </c>
      <c r="K8">
        <f>MAX(0,ca!J7-nat_cb!K8)</f>
        <v/>
      </c>
    </row>
    <row r="9">
      <c r="A9" t="n">
        <v>7</v>
      </c>
      <c r="B9">
        <f>MAX(0,0-nat_cb!B9)</f>
        <v/>
      </c>
      <c r="C9">
        <f>MAX(0,ca!B8-nat_cb!C9)</f>
        <v/>
      </c>
      <c r="D9">
        <f>MAX(0,ca!C8-nat_cb!D9)</f>
        <v/>
      </c>
      <c r="E9">
        <f>MAX(0,ca!D8-nat_cb!E9)</f>
        <v/>
      </c>
      <c r="F9">
        <f>MAX(0,ca!E8-nat_cb!F9)</f>
        <v/>
      </c>
      <c r="G9">
        <f>MAX(0,ca!F8-nat_cb!G9)</f>
        <v/>
      </c>
      <c r="H9">
        <f>MAX(0,ca!G8-nat_cb!H9)</f>
        <v/>
      </c>
      <c r="I9">
        <f>MAX(0,ca!H8-nat_cb!I9)</f>
        <v/>
      </c>
      <c r="J9">
        <f>MAX(0,ca!I8-nat_cb!J9)</f>
        <v/>
      </c>
      <c r="K9">
        <f>MAX(0,ca!J8-nat_cb!K9)</f>
        <v/>
      </c>
    </row>
    <row r="10">
      <c r="A10" t="n">
        <v>8</v>
      </c>
      <c r="B10">
        <f>MAX(0,0-nat_cb!B10)</f>
        <v/>
      </c>
      <c r="C10">
        <f>MAX(0,ca!B9-nat_cb!C10)</f>
        <v/>
      </c>
      <c r="D10">
        <f>MAX(0,ca!C9-nat_cb!D10)</f>
        <v/>
      </c>
      <c r="E10">
        <f>MAX(0,ca!D9-nat_cb!E10)</f>
        <v/>
      </c>
      <c r="F10">
        <f>MAX(0,ca!E9-nat_cb!F10)</f>
        <v/>
      </c>
      <c r="G10">
        <f>MAX(0,ca!F9-nat_cb!G10)</f>
        <v/>
      </c>
      <c r="H10">
        <f>MAX(0,ca!G9-nat_cb!H10)</f>
        <v/>
      </c>
      <c r="I10">
        <f>MAX(0,ca!H9-nat_cb!I10)</f>
        <v/>
      </c>
      <c r="J10">
        <f>MAX(0,ca!I9-nat_cb!J10)</f>
        <v/>
      </c>
      <c r="K10">
        <f>MAX(0,ca!J9-nat_cb!K10)</f>
        <v/>
      </c>
    </row>
    <row r="11">
      <c r="A11" t="n">
        <v>9</v>
      </c>
      <c r="B11">
        <f>MAX(0,0-nat_cb!B11)</f>
        <v/>
      </c>
      <c r="C11">
        <f>MAX(0,ca!B10-nat_cb!C11)</f>
        <v/>
      </c>
      <c r="D11">
        <f>MAX(0,ca!C10-nat_cb!D11)</f>
        <v/>
      </c>
      <c r="E11">
        <f>MAX(0,ca!D10-nat_cb!E11)</f>
        <v/>
      </c>
      <c r="F11">
        <f>MAX(0,ca!E10-nat_cb!F11)</f>
        <v/>
      </c>
      <c r="G11">
        <f>MAX(0,ca!F10-nat_cb!G11)</f>
        <v/>
      </c>
      <c r="H11">
        <f>MAX(0,ca!G10-nat_cb!H11)</f>
        <v/>
      </c>
      <c r="I11">
        <f>MAX(0,ca!H10-nat_cb!I11)</f>
        <v/>
      </c>
      <c r="J11">
        <f>MAX(0,ca!I10-nat_cb!J11)</f>
        <v/>
      </c>
      <c r="K11">
        <f>MAX(0,ca!J10-nat_cb!K11)</f>
        <v/>
      </c>
    </row>
    <row r="12">
      <c r="A12" t="n">
        <v>10</v>
      </c>
      <c r="B12">
        <f>MAX(0,0-nat_cb!B12)</f>
        <v/>
      </c>
      <c r="C12">
        <f>MAX(0,ca!B11-nat_cb!C12)</f>
        <v/>
      </c>
      <c r="D12">
        <f>MAX(0,ca!C11-nat_cb!D12)</f>
        <v/>
      </c>
      <c r="E12">
        <f>MAX(0,ca!D11-nat_cb!E12)</f>
        <v/>
      </c>
      <c r="F12">
        <f>MAX(0,ca!E11-nat_cb!F12)</f>
        <v/>
      </c>
      <c r="G12">
        <f>MAX(0,ca!F11-nat_cb!G12)</f>
        <v/>
      </c>
      <c r="H12">
        <f>MAX(0,ca!G11-nat_cb!H12)</f>
        <v/>
      </c>
      <c r="I12">
        <f>MAX(0,ca!H11-nat_cb!I12)</f>
        <v/>
      </c>
      <c r="J12">
        <f>MAX(0,ca!I11-nat_cb!J12)</f>
        <v/>
      </c>
      <c r="K12">
        <f>MAX(0,ca!J11-nat_cb!K12)</f>
        <v/>
      </c>
    </row>
    <row r="13">
      <c r="A13" t="n">
        <v>11</v>
      </c>
      <c r="B13">
        <f>MAX(0,0-nat_cb!B13)</f>
        <v/>
      </c>
      <c r="C13">
        <f>MAX(0,ca!B12-nat_cb!C13)</f>
        <v/>
      </c>
      <c r="D13">
        <f>MAX(0,ca!C12-nat_cb!D13)</f>
        <v/>
      </c>
      <c r="E13">
        <f>MAX(0,ca!D12-nat_cb!E13)</f>
        <v/>
      </c>
      <c r="F13">
        <f>MAX(0,ca!E12-nat_cb!F13)</f>
        <v/>
      </c>
      <c r="G13">
        <f>MAX(0,ca!F12-nat_cb!G13)</f>
        <v/>
      </c>
      <c r="H13">
        <f>MAX(0,ca!G12-nat_cb!H13)</f>
        <v/>
      </c>
      <c r="I13">
        <f>MAX(0,ca!H12-nat_cb!I13)</f>
        <v/>
      </c>
      <c r="J13">
        <f>MAX(0,ca!I12-nat_cb!J13)</f>
        <v/>
      </c>
      <c r="K13">
        <f>MAX(0,ca!J12-nat_cb!K13)</f>
        <v/>
      </c>
    </row>
    <row r="14">
      <c r="A14" t="n">
        <v>12</v>
      </c>
      <c r="B14">
        <f>MAX(0,0-nat_cb!B14)</f>
        <v/>
      </c>
      <c r="C14">
        <f>MAX(0,ca!B13-nat_cb!C14)</f>
        <v/>
      </c>
      <c r="D14">
        <f>MAX(0,ca!C13-nat_cb!D14)</f>
        <v/>
      </c>
      <c r="E14">
        <f>MAX(0,ca!D13-nat_cb!E14)</f>
        <v/>
      </c>
      <c r="F14">
        <f>MAX(0,ca!E13-nat_cb!F14)</f>
        <v/>
      </c>
      <c r="G14">
        <f>MAX(0,ca!F13-nat_cb!G14)</f>
        <v/>
      </c>
      <c r="H14">
        <f>MAX(0,ca!G13-nat_cb!H14)</f>
        <v/>
      </c>
      <c r="I14">
        <f>MAX(0,ca!H13-nat_cb!I14)</f>
        <v/>
      </c>
      <c r="J14">
        <f>MAX(0,ca!I13-nat_cb!J14)</f>
        <v/>
      </c>
      <c r="K14">
        <f>MAX(0,ca!J13-nat_cb!K14)</f>
        <v/>
      </c>
    </row>
    <row r="15">
      <c r="A15" t="n">
        <v>13</v>
      </c>
      <c r="B15">
        <f>MAX(0,0-nat_cb!B15)</f>
        <v/>
      </c>
      <c r="C15">
        <f>MAX(0,ca!B14-nat_cb!C15)</f>
        <v/>
      </c>
      <c r="D15">
        <f>MAX(0,ca!C14-nat_cb!D15)</f>
        <v/>
      </c>
      <c r="E15">
        <f>MAX(0,ca!D14-nat_cb!E15)</f>
        <v/>
      </c>
      <c r="F15">
        <f>MAX(0,ca!E14-nat_cb!F15)</f>
        <v/>
      </c>
      <c r="G15">
        <f>MAX(0,ca!F14-nat_cb!G15)</f>
        <v/>
      </c>
      <c r="H15">
        <f>MAX(0,ca!G14-nat_cb!H15)</f>
        <v/>
      </c>
      <c r="I15">
        <f>MAX(0,ca!H14-nat_cb!I15)</f>
        <v/>
      </c>
      <c r="J15">
        <f>MAX(0,ca!I14-nat_cb!J15)</f>
        <v/>
      </c>
      <c r="K15">
        <f>MAX(0,ca!J14-nat_cb!K15)</f>
        <v/>
      </c>
    </row>
    <row r="16">
      <c r="A16" t="n">
        <v>14</v>
      </c>
      <c r="B16">
        <f>MAX(0,0-nat_cb!B16)</f>
        <v/>
      </c>
      <c r="C16">
        <f>MAX(0,ca!B15-nat_cb!C16)</f>
        <v/>
      </c>
      <c r="D16">
        <f>MAX(0,ca!C15-nat_cb!D16)</f>
        <v/>
      </c>
      <c r="E16">
        <f>MAX(0,ca!D15-nat_cb!E16)</f>
        <v/>
      </c>
      <c r="F16">
        <f>MAX(0,ca!E15-nat_cb!F16)</f>
        <v/>
      </c>
      <c r="G16">
        <f>MAX(0,ca!F15-nat_cb!G16)</f>
        <v/>
      </c>
      <c r="H16">
        <f>MAX(0,ca!G15-nat_cb!H16)</f>
        <v/>
      </c>
      <c r="I16">
        <f>MAX(0,ca!H15-nat_cb!I16)</f>
        <v/>
      </c>
      <c r="J16">
        <f>MAX(0,ca!I15-nat_cb!J16)</f>
        <v/>
      </c>
      <c r="K16">
        <f>MAX(0,ca!J15-nat_cb!K16)</f>
        <v/>
      </c>
    </row>
    <row r="17">
      <c r="A17" t="n">
        <v>15</v>
      </c>
      <c r="B17">
        <f>MAX(0,0-nat_cb!B17)</f>
        <v/>
      </c>
      <c r="C17">
        <f>MAX(0,ca!B16-nat_cb!C17)</f>
        <v/>
      </c>
      <c r="D17">
        <f>MAX(0,ca!C16-nat_cb!D17)</f>
        <v/>
      </c>
      <c r="E17">
        <f>MAX(0,ca!D16-nat_cb!E17)</f>
        <v/>
      </c>
      <c r="F17">
        <f>MAX(0,ca!E16-nat_cb!F17)</f>
        <v/>
      </c>
      <c r="G17">
        <f>MAX(0,ca!F16-nat_cb!G17)</f>
        <v/>
      </c>
      <c r="H17">
        <f>MAX(0,ca!G16-nat_cb!H17)</f>
        <v/>
      </c>
      <c r="I17">
        <f>MAX(0,ca!H16-nat_cb!I17)</f>
        <v/>
      </c>
      <c r="J17">
        <f>MAX(0,ca!I16-nat_cb!J17)</f>
        <v/>
      </c>
      <c r="K17">
        <f>MAX(0,ca!J16-nat_cb!K17)</f>
        <v/>
      </c>
    </row>
    <row r="18">
      <c r="A18" t="n">
        <v>16</v>
      </c>
      <c r="B18">
        <f>MAX(0,0-nat_cb!B18)</f>
        <v/>
      </c>
      <c r="C18">
        <f>MAX(0,ca!B17-nat_cb!C18)</f>
        <v/>
      </c>
      <c r="D18">
        <f>MAX(0,ca!C17-nat_cb!D18)</f>
        <v/>
      </c>
      <c r="E18">
        <f>MAX(0,ca!D17-nat_cb!E18)</f>
        <v/>
      </c>
      <c r="F18">
        <f>MAX(0,ca!E17-nat_cb!F18)</f>
        <v/>
      </c>
      <c r="G18">
        <f>MAX(0,ca!F17-nat_cb!G18)</f>
        <v/>
      </c>
      <c r="H18">
        <f>MAX(0,ca!G17-nat_cb!H18)</f>
        <v/>
      </c>
      <c r="I18">
        <f>MAX(0,ca!H17-nat_cb!I18)</f>
        <v/>
      </c>
      <c r="J18">
        <f>MAX(0,ca!I17-nat_cb!J18)</f>
        <v/>
      </c>
      <c r="K18">
        <f>MAX(0,ca!J17-nat_cb!K18)</f>
        <v/>
      </c>
    </row>
    <row r="19">
      <c r="A19" t="n">
        <v>17</v>
      </c>
      <c r="B19">
        <f>MAX(0,0-nat_cb!B19)</f>
        <v/>
      </c>
      <c r="C19">
        <f>MAX(0,ca!B18-nat_cb!C19)</f>
        <v/>
      </c>
      <c r="D19">
        <f>MAX(0,ca!C18-nat_cb!D19)</f>
        <v/>
      </c>
      <c r="E19">
        <f>MAX(0,ca!D18-nat_cb!E19)</f>
        <v/>
      </c>
      <c r="F19">
        <f>MAX(0,ca!E18-nat_cb!F19)</f>
        <v/>
      </c>
      <c r="G19">
        <f>MAX(0,ca!F18-nat_cb!G19)</f>
        <v/>
      </c>
      <c r="H19">
        <f>MAX(0,ca!G18-nat_cb!H19)</f>
        <v/>
      </c>
      <c r="I19">
        <f>MAX(0,ca!H18-nat_cb!I19)</f>
        <v/>
      </c>
      <c r="J19">
        <f>MAX(0,ca!I18-nat_cb!J19)</f>
        <v/>
      </c>
      <c r="K19">
        <f>MAX(0,ca!J18-nat_cb!K19)</f>
        <v/>
      </c>
    </row>
    <row r="20">
      <c r="A20" t="n">
        <v>18</v>
      </c>
      <c r="B20">
        <f>MAX(0,0-nat_cb!B20)</f>
        <v/>
      </c>
      <c r="C20">
        <f>MAX(0,ca!B19-nat_cb!C20)</f>
        <v/>
      </c>
      <c r="D20">
        <f>MAX(0,ca!C19-nat_cb!D20)</f>
        <v/>
      </c>
      <c r="E20">
        <f>MAX(0,ca!D19-nat_cb!E20)</f>
        <v/>
      </c>
      <c r="F20">
        <f>MAX(0,ca!E19-nat_cb!F20)</f>
        <v/>
      </c>
      <c r="G20">
        <f>MAX(0,ca!F19-nat_cb!G20)</f>
        <v/>
      </c>
      <c r="H20">
        <f>MAX(0,ca!G19-nat_cb!H20)</f>
        <v/>
      </c>
      <c r="I20">
        <f>MAX(0,ca!H19-nat_cb!I20)</f>
        <v/>
      </c>
      <c r="J20">
        <f>MAX(0,ca!I19-nat_cb!J20)</f>
        <v/>
      </c>
      <c r="K20">
        <f>MAX(0,ca!J19-nat_cb!K20)</f>
        <v/>
      </c>
    </row>
    <row r="21">
      <c r="A21" t="n">
        <v>19</v>
      </c>
      <c r="B21">
        <f>MAX(0,0-nat_cb!B21)</f>
        <v/>
      </c>
      <c r="C21">
        <f>MAX(0,ca!B20-nat_cb!C21)</f>
        <v/>
      </c>
      <c r="D21">
        <f>MAX(0,ca!C20-nat_cb!D21)</f>
        <v/>
      </c>
      <c r="E21">
        <f>MAX(0,ca!D20-nat_cb!E21)</f>
        <v/>
      </c>
      <c r="F21">
        <f>MAX(0,ca!E20-nat_cb!F21)</f>
        <v/>
      </c>
      <c r="G21">
        <f>MAX(0,ca!F20-nat_cb!G21)</f>
        <v/>
      </c>
      <c r="H21">
        <f>MAX(0,ca!G20-nat_cb!H21)</f>
        <v/>
      </c>
      <c r="I21">
        <f>MAX(0,ca!H20-nat_cb!I21)</f>
        <v/>
      </c>
      <c r="J21">
        <f>MAX(0,ca!I20-nat_cb!J21)</f>
        <v/>
      </c>
      <c r="K21">
        <f>MAX(0,ca!J20-nat_cb!K21)</f>
        <v/>
      </c>
    </row>
    <row r="22">
      <c r="A22" t="n">
        <v>20</v>
      </c>
      <c r="B22">
        <f>MAX(0,0-nat_cb!B22)</f>
        <v/>
      </c>
      <c r="C22">
        <f>MAX(0,ca!B21-nat_cb!C22)</f>
        <v/>
      </c>
      <c r="D22">
        <f>MAX(0,ca!C21-nat_cb!D22)</f>
        <v/>
      </c>
      <c r="E22">
        <f>MAX(0,ca!D21-nat_cb!E22)</f>
        <v/>
      </c>
      <c r="F22">
        <f>MAX(0,ca!E21-nat_cb!F22)</f>
        <v/>
      </c>
      <c r="G22">
        <f>MAX(0,ca!F21-nat_cb!G22)</f>
        <v/>
      </c>
      <c r="H22">
        <f>MAX(0,ca!G21-nat_cb!H22)</f>
        <v/>
      </c>
      <c r="I22">
        <f>MAX(0,ca!H21-nat_cb!I22)</f>
        <v/>
      </c>
      <c r="J22">
        <f>MAX(0,ca!I21-nat_cb!J22)</f>
        <v/>
      </c>
      <c r="K22">
        <f>MAX(0,ca!J21-nat_cb!K22)</f>
        <v/>
      </c>
    </row>
    <row r="23">
      <c r="A23" t="n">
        <v>21</v>
      </c>
      <c r="B23">
        <f>MAX(0,0-nat_cb!B23)</f>
        <v/>
      </c>
      <c r="C23">
        <f>MAX(0,ca!B22-nat_cb!C23)</f>
        <v/>
      </c>
      <c r="D23">
        <f>MAX(0,ca!C22-nat_cb!D23)</f>
        <v/>
      </c>
      <c r="E23">
        <f>MAX(0,ca!D22-nat_cb!E23)</f>
        <v/>
      </c>
      <c r="F23">
        <f>MAX(0,ca!E22-nat_cb!F23)</f>
        <v/>
      </c>
      <c r="G23">
        <f>MAX(0,ca!F22-nat_cb!G23)</f>
        <v/>
      </c>
      <c r="H23">
        <f>MAX(0,ca!G22-nat_cb!H23)</f>
        <v/>
      </c>
      <c r="I23">
        <f>MAX(0,ca!H22-nat_cb!I23)</f>
        <v/>
      </c>
      <c r="J23">
        <f>MAX(0,ca!I22-nat_cb!J23)</f>
        <v/>
      </c>
      <c r="K23">
        <f>MAX(0,ca!J22-nat_cb!K23)</f>
        <v/>
      </c>
    </row>
    <row r="24">
      <c r="A24" t="n">
        <v>22</v>
      </c>
      <c r="B24">
        <f>MAX(0,0-nat_cb!B24)</f>
        <v/>
      </c>
      <c r="C24">
        <f>MAX(0,ca!B23-nat_cb!C24)</f>
        <v/>
      </c>
      <c r="D24">
        <f>MAX(0,ca!C23-nat_cb!D24)</f>
        <v/>
      </c>
      <c r="E24">
        <f>MAX(0,ca!D23-nat_cb!E24)</f>
        <v/>
      </c>
      <c r="F24">
        <f>MAX(0,ca!E23-nat_cb!F24)</f>
        <v/>
      </c>
      <c r="G24">
        <f>MAX(0,ca!F23-nat_cb!G24)</f>
        <v/>
      </c>
      <c r="H24">
        <f>MAX(0,ca!G23-nat_cb!H24)</f>
        <v/>
      </c>
      <c r="I24">
        <f>MAX(0,ca!H23-nat_cb!I24)</f>
        <v/>
      </c>
      <c r="J24">
        <f>MAX(0,ca!I23-nat_cb!J24)</f>
        <v/>
      </c>
      <c r="K24">
        <f>MAX(0,ca!J23-nat_cb!K24)</f>
        <v/>
      </c>
    </row>
    <row r="25">
      <c r="A25" t="n">
        <v>23</v>
      </c>
      <c r="B25">
        <f>MAX(0,0-nat_cb!B25)</f>
        <v/>
      </c>
      <c r="C25">
        <f>MAX(0,ca!B24-nat_cb!C25)</f>
        <v/>
      </c>
      <c r="D25">
        <f>MAX(0,ca!C24-nat_cb!D25)</f>
        <v/>
      </c>
      <c r="E25">
        <f>MAX(0,ca!D24-nat_cb!E25)</f>
        <v/>
      </c>
      <c r="F25">
        <f>MAX(0,ca!E24-nat_cb!F25)</f>
        <v/>
      </c>
      <c r="G25">
        <f>MAX(0,ca!F24-nat_cb!G25)</f>
        <v/>
      </c>
      <c r="H25">
        <f>MAX(0,ca!G24-nat_cb!H25)</f>
        <v/>
      </c>
      <c r="I25">
        <f>MAX(0,ca!H24-nat_cb!I25)</f>
        <v/>
      </c>
      <c r="J25">
        <f>MAX(0,ca!I24-nat_cb!J25)</f>
        <v/>
      </c>
      <c r="K25">
        <f>MAX(0,ca!J24-nat_cb!K25)</f>
        <v/>
      </c>
    </row>
    <row r="26">
      <c r="A26" t="n">
        <v>24</v>
      </c>
      <c r="B26">
        <f>MAX(0,0-nat_cb!B26)</f>
        <v/>
      </c>
      <c r="C26">
        <f>MAX(0,ca!B25-nat_cb!C26)</f>
        <v/>
      </c>
      <c r="D26">
        <f>MAX(0,ca!C25-nat_cb!D26)</f>
        <v/>
      </c>
      <c r="E26">
        <f>MAX(0,ca!D25-nat_cb!E26)</f>
        <v/>
      </c>
      <c r="F26">
        <f>MAX(0,ca!E25-nat_cb!F26)</f>
        <v/>
      </c>
      <c r="G26">
        <f>MAX(0,ca!F25-nat_cb!G26)</f>
        <v/>
      </c>
      <c r="H26">
        <f>MAX(0,ca!G25-nat_cb!H26)</f>
        <v/>
      </c>
      <c r="I26">
        <f>MAX(0,ca!H25-nat_cb!I26)</f>
        <v/>
      </c>
      <c r="J26">
        <f>MAX(0,ca!I25-nat_cb!J26)</f>
        <v/>
      </c>
      <c r="K26">
        <f>MAX(0,ca!J25-nat_cb!K26)</f>
        <v/>
      </c>
    </row>
    <row r="27">
      <c r="A27" t="n">
        <v>25</v>
      </c>
      <c r="B27">
        <f>MAX(0,0-nat_cb!B27)</f>
        <v/>
      </c>
      <c r="C27">
        <f>MAX(0,ca!B26-nat_cb!C27)</f>
        <v/>
      </c>
      <c r="D27">
        <f>MAX(0,ca!C26-nat_cb!D27)</f>
        <v/>
      </c>
      <c r="E27">
        <f>MAX(0,ca!D26-nat_cb!E27)</f>
        <v/>
      </c>
      <c r="F27">
        <f>MAX(0,ca!E26-nat_cb!F27)</f>
        <v/>
      </c>
      <c r="G27">
        <f>MAX(0,ca!F26-nat_cb!G27)</f>
        <v/>
      </c>
      <c r="H27">
        <f>MAX(0,ca!G26-nat_cb!H27)</f>
        <v/>
      </c>
      <c r="I27">
        <f>MAX(0,ca!H26-nat_cb!I27)</f>
        <v/>
      </c>
      <c r="J27">
        <f>MAX(0,ca!I26-nat_cb!J27)</f>
        <v/>
      </c>
      <c r="K27">
        <f>MAX(0,ca!J26-nat_cb!K27)</f>
        <v/>
      </c>
    </row>
    <row r="28">
      <c r="A28" t="n">
        <v>26</v>
      </c>
      <c r="B28">
        <f>MAX(0,0-nat_cb!B28)</f>
        <v/>
      </c>
      <c r="C28">
        <f>MAX(0,ca!B27-nat_cb!C28)</f>
        <v/>
      </c>
      <c r="D28">
        <f>MAX(0,ca!C27-nat_cb!D28)</f>
        <v/>
      </c>
      <c r="E28">
        <f>MAX(0,ca!D27-nat_cb!E28)</f>
        <v/>
      </c>
      <c r="F28">
        <f>MAX(0,ca!E27-nat_cb!F28)</f>
        <v/>
      </c>
      <c r="G28">
        <f>MAX(0,ca!F27-nat_cb!G28)</f>
        <v/>
      </c>
      <c r="H28">
        <f>MAX(0,ca!G27-nat_cb!H28)</f>
        <v/>
      </c>
      <c r="I28">
        <f>MAX(0,ca!H27-nat_cb!I28)</f>
        <v/>
      </c>
      <c r="J28">
        <f>MAX(0,ca!I27-nat_cb!J28)</f>
        <v/>
      </c>
      <c r="K28">
        <f>MAX(0,ca!J27-nat_cb!K28)</f>
        <v/>
      </c>
    </row>
    <row r="29">
      <c r="A29" t="n">
        <v>27</v>
      </c>
      <c r="B29">
        <f>MAX(0,0-nat_cb!B29)</f>
        <v/>
      </c>
      <c r="C29">
        <f>MAX(0,ca!B28-nat_cb!C29)</f>
        <v/>
      </c>
      <c r="D29">
        <f>MAX(0,ca!C28-nat_cb!D29)</f>
        <v/>
      </c>
      <c r="E29">
        <f>MAX(0,ca!D28-nat_cb!E29)</f>
        <v/>
      </c>
      <c r="F29">
        <f>MAX(0,ca!E28-nat_cb!F29)</f>
        <v/>
      </c>
      <c r="G29">
        <f>MAX(0,ca!F28-nat_cb!G29)</f>
        <v/>
      </c>
      <c r="H29">
        <f>MAX(0,ca!G28-nat_cb!H29)</f>
        <v/>
      </c>
      <c r="I29">
        <f>MAX(0,ca!H28-nat_cb!I29)</f>
        <v/>
      </c>
      <c r="J29">
        <f>MAX(0,ca!I28-nat_cb!J29)</f>
        <v/>
      </c>
      <c r="K29">
        <f>MAX(0,ca!J28-nat_cb!K29)</f>
        <v/>
      </c>
    </row>
    <row r="30">
      <c r="A30" t="n">
        <v>28</v>
      </c>
      <c r="B30">
        <f>MAX(0,0-nat_cb!B30)</f>
        <v/>
      </c>
      <c r="C30">
        <f>MAX(0,ca!B29-nat_cb!C30)</f>
        <v/>
      </c>
      <c r="D30">
        <f>MAX(0,ca!C29-nat_cb!D30)</f>
        <v/>
      </c>
      <c r="E30">
        <f>MAX(0,ca!D29-nat_cb!E30)</f>
        <v/>
      </c>
      <c r="F30">
        <f>MAX(0,ca!E29-nat_cb!F30)</f>
        <v/>
      </c>
      <c r="G30">
        <f>MAX(0,ca!F29-nat_cb!G30)</f>
        <v/>
      </c>
      <c r="H30">
        <f>MAX(0,ca!G29-nat_cb!H30)</f>
        <v/>
      </c>
      <c r="I30">
        <f>MAX(0,ca!H29-nat_cb!I30)</f>
        <v/>
      </c>
      <c r="J30">
        <f>MAX(0,ca!I29-nat_cb!J30)</f>
        <v/>
      </c>
      <c r="K30">
        <f>MAX(0,ca!J29-nat_cb!K30)</f>
        <v/>
      </c>
    </row>
    <row r="31">
      <c r="A31" t="n">
        <v>29</v>
      </c>
      <c r="B31">
        <f>MAX(0,0-nat_cb!B31)</f>
        <v/>
      </c>
      <c r="C31">
        <f>MAX(0,ca!B30-nat_cb!C31)</f>
        <v/>
      </c>
      <c r="D31">
        <f>MAX(0,ca!C30-nat_cb!D31)</f>
        <v/>
      </c>
      <c r="E31">
        <f>MAX(0,ca!D30-nat_cb!E31)</f>
        <v/>
      </c>
      <c r="F31">
        <f>MAX(0,ca!E30-nat_cb!F31)</f>
        <v/>
      </c>
      <c r="G31">
        <f>MAX(0,ca!F30-nat_cb!G31)</f>
        <v/>
      </c>
      <c r="H31">
        <f>MAX(0,ca!G30-nat_cb!H31)</f>
        <v/>
      </c>
      <c r="I31">
        <f>MAX(0,ca!H30-nat_cb!I31)</f>
        <v/>
      </c>
      <c r="J31">
        <f>MAX(0,ca!I30-nat_cb!J31)</f>
        <v/>
      </c>
      <c r="K31">
        <f>MAX(0,ca!J30-nat_cb!K31)</f>
        <v/>
      </c>
    </row>
    <row r="32">
      <c r="A32" t="n">
        <v>30</v>
      </c>
      <c r="B32">
        <f>MAX(0,0-nat_cb!B32)</f>
        <v/>
      </c>
      <c r="C32">
        <f>MAX(0,ca!B31-nat_cb!C32)</f>
        <v/>
      </c>
      <c r="D32">
        <f>MAX(0,ca!C31-nat_cb!D32)</f>
        <v/>
      </c>
      <c r="E32">
        <f>MAX(0,ca!D31-nat_cb!E32)</f>
        <v/>
      </c>
      <c r="F32">
        <f>MAX(0,ca!E31-nat_cb!F32)</f>
        <v/>
      </c>
      <c r="G32">
        <f>MAX(0,ca!F31-nat_cb!G32)</f>
        <v/>
      </c>
      <c r="H32">
        <f>MAX(0,ca!G31-nat_cb!H32)</f>
        <v/>
      </c>
      <c r="I32">
        <f>MAX(0,ca!H31-nat_cb!I32)</f>
        <v/>
      </c>
      <c r="J32">
        <f>MAX(0,ca!I31-nat_cb!J32)</f>
        <v/>
      </c>
      <c r="K32">
        <f>MAX(0,ca!J31-nat_cb!K32)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</cols>
  <sheetData>
    <row r="1">
      <c r="A1" s="1" t="inlineStr">
        <is>
          <t>t</t>
        </is>
      </c>
      <c r="B1" s="1" t="inlineStr">
        <is>
          <t>pch(t)</t>
        </is>
      </c>
    </row>
    <row r="2">
      <c r="A2" t="n">
        <v>0</v>
      </c>
      <c r="B2">
        <f>IFERROR((SUM(ca!B2:K2)+SUM(cb!B2:K2))/(SUM(z!B2:K2)+SUM(o!B2:K2)+SUM(ca!B2:K2)+SUM(cb!B2:K2)),0)</f>
        <v/>
      </c>
    </row>
    <row r="3">
      <c r="A3" t="n">
        <v>1</v>
      </c>
      <c r="B3">
        <f>IFERROR((SUM(ca!B3:K3)+SUM(cb!B3:K3))/(SUM(z!B3:K3)+SUM(o!B3:K3)+SUM(ca!B3:K3)+SUM(cb!B3:K3)),0)</f>
        <v/>
      </c>
    </row>
    <row r="4">
      <c r="A4" t="n">
        <v>2</v>
      </c>
      <c r="B4">
        <f>IFERROR((SUM(ca!B4:K4)+SUM(cb!B4:K4))/(SUM(z!B4:K4)+SUM(o!B4:K4)+SUM(ca!B4:K4)+SUM(cb!B4:K4)),0)</f>
        <v/>
      </c>
    </row>
    <row r="5">
      <c r="A5" t="n">
        <v>3</v>
      </c>
      <c r="B5">
        <f>IFERROR((SUM(ca!B5:K5)+SUM(cb!B5:K5))/(SUM(z!B5:K5)+SUM(o!B5:K5)+SUM(ca!B5:K5)+SUM(cb!B5:K5)),0)</f>
        <v/>
      </c>
    </row>
    <row r="6">
      <c r="A6" t="n">
        <v>4</v>
      </c>
      <c r="B6">
        <f>IFERROR((SUM(ca!B6:K6)+SUM(cb!B6:K6))/(SUM(z!B6:K6)+SUM(o!B6:K6)+SUM(ca!B6:K6)+SUM(cb!B6:K6)),0)</f>
        <v/>
      </c>
    </row>
    <row r="7">
      <c r="A7" t="n">
        <v>5</v>
      </c>
      <c r="B7">
        <f>IFERROR((SUM(ca!B7:K7)+SUM(cb!B7:K7))/(SUM(z!B7:K7)+SUM(o!B7:K7)+SUM(ca!B7:K7)+SUM(cb!B7:K7)),0)</f>
        <v/>
      </c>
    </row>
    <row r="8">
      <c r="A8" t="n">
        <v>6</v>
      </c>
      <c r="B8">
        <f>IFERROR((SUM(ca!B8:K8)+SUM(cb!B8:K8))/(SUM(z!B8:K8)+SUM(o!B8:K8)+SUM(ca!B8:K8)+SUM(cb!B8:K8)),0)</f>
        <v/>
      </c>
    </row>
    <row r="9">
      <c r="A9" t="n">
        <v>7</v>
      </c>
      <c r="B9">
        <f>IFERROR((SUM(ca!B9:K9)+SUM(cb!B9:K9))/(SUM(z!B9:K9)+SUM(o!B9:K9)+SUM(ca!B9:K9)+SUM(cb!B9:K9)),0)</f>
        <v/>
      </c>
    </row>
    <row r="10">
      <c r="A10" t="n">
        <v>8</v>
      </c>
      <c r="B10">
        <f>IFERROR((SUM(ca!B10:K10)+SUM(cb!B10:K10))/(SUM(z!B10:K10)+SUM(o!B10:K10)+SUM(ca!B10:K10)+SUM(cb!B10:K10)),0)</f>
        <v/>
      </c>
    </row>
    <row r="11">
      <c r="A11" t="n">
        <v>9</v>
      </c>
      <c r="B11">
        <f>IFERROR((SUM(ca!B11:K11)+SUM(cb!B11:K11))/(SUM(z!B11:K11)+SUM(o!B11:K11)+SUM(ca!B11:K11)+SUM(cb!B11:K11)),0)</f>
        <v/>
      </c>
    </row>
    <row r="12">
      <c r="A12" t="n">
        <v>10</v>
      </c>
      <c r="B12">
        <f>IFERROR((SUM(ca!B12:K12)+SUM(cb!B12:K12))/(SUM(z!B12:K12)+SUM(o!B12:K12)+SUM(ca!B12:K12)+SUM(cb!B12:K12)),0)</f>
        <v/>
      </c>
    </row>
    <row r="13">
      <c r="A13" t="n">
        <v>11</v>
      </c>
      <c r="B13">
        <f>IFERROR((SUM(ca!B13:K13)+SUM(cb!B13:K13))/(SUM(z!B13:K13)+SUM(o!B13:K13)+SUM(ca!B13:K13)+SUM(cb!B13:K13)),0)</f>
        <v/>
      </c>
    </row>
    <row r="14">
      <c r="A14" t="n">
        <v>12</v>
      </c>
      <c r="B14">
        <f>IFERROR((SUM(ca!B14:K14)+SUM(cb!B14:K14))/(SUM(z!B14:K14)+SUM(o!B14:K14)+SUM(ca!B14:K14)+SUM(cb!B14:K14)),0)</f>
        <v/>
      </c>
    </row>
    <row r="15">
      <c r="A15" t="n">
        <v>13</v>
      </c>
      <c r="B15">
        <f>IFERROR((SUM(ca!B15:K15)+SUM(cb!B15:K15))/(SUM(z!B15:K15)+SUM(o!B15:K15)+SUM(ca!B15:K15)+SUM(cb!B15:K15)),0)</f>
        <v/>
      </c>
    </row>
    <row r="16">
      <c r="A16" t="n">
        <v>14</v>
      </c>
      <c r="B16">
        <f>IFERROR((SUM(ca!B16:K16)+SUM(cb!B16:K16))/(SUM(z!B16:K16)+SUM(o!B16:K16)+SUM(ca!B16:K16)+SUM(cb!B16:K16)),0)</f>
        <v/>
      </c>
    </row>
    <row r="17">
      <c r="A17" t="n">
        <v>15</v>
      </c>
      <c r="B17">
        <f>IFERROR((SUM(ca!B17:K17)+SUM(cb!B17:K17))/(SUM(z!B17:K17)+SUM(o!B17:K17)+SUM(ca!B17:K17)+SUM(cb!B17:K17)),0)</f>
        <v/>
      </c>
    </row>
    <row r="18">
      <c r="A18" t="n">
        <v>16</v>
      </c>
      <c r="B18">
        <f>IFERROR((SUM(ca!B18:K18)+SUM(cb!B18:K18))/(SUM(z!B18:K18)+SUM(o!B18:K18)+SUM(ca!B18:K18)+SUM(cb!B18:K18)),0)</f>
        <v/>
      </c>
    </row>
    <row r="19">
      <c r="A19" t="n">
        <v>17</v>
      </c>
      <c r="B19">
        <f>IFERROR((SUM(ca!B19:K19)+SUM(cb!B19:K19))/(SUM(z!B19:K19)+SUM(o!B19:K19)+SUM(ca!B19:K19)+SUM(cb!B19:K19)),0)</f>
        <v/>
      </c>
    </row>
    <row r="20">
      <c r="A20" t="n">
        <v>18</v>
      </c>
      <c r="B20">
        <f>IFERROR((SUM(ca!B20:K20)+SUM(cb!B20:K20))/(SUM(z!B20:K20)+SUM(o!B20:K20)+SUM(ca!B20:K20)+SUM(cb!B20:K20)),0)</f>
        <v/>
      </c>
    </row>
    <row r="21">
      <c r="A21" t="n">
        <v>19</v>
      </c>
      <c r="B21">
        <f>IFERROR((SUM(ca!B21:K21)+SUM(cb!B21:K21))/(SUM(z!B21:K21)+SUM(o!B21:K21)+SUM(ca!B21:K21)+SUM(cb!B21:K21)),0)</f>
        <v/>
      </c>
    </row>
    <row r="22">
      <c r="A22" t="n">
        <v>20</v>
      </c>
      <c r="B22">
        <f>IFERROR((SUM(ca!B22:K22)+SUM(cb!B22:K22))/(SUM(z!B22:K22)+SUM(o!B22:K22)+SUM(ca!B22:K22)+SUM(cb!B22:K22)),0)</f>
        <v/>
      </c>
    </row>
    <row r="23">
      <c r="A23" t="n">
        <v>21</v>
      </c>
      <c r="B23">
        <f>IFERROR((SUM(ca!B23:K23)+SUM(cb!B23:K23))/(SUM(z!B23:K23)+SUM(o!B23:K23)+SUM(ca!B23:K23)+SUM(cb!B23:K23)),0)</f>
        <v/>
      </c>
    </row>
    <row r="24">
      <c r="A24" t="n">
        <v>22</v>
      </c>
      <c r="B24">
        <f>IFERROR((SUM(ca!B24:K24)+SUM(cb!B24:K24))/(SUM(z!B24:K24)+SUM(o!B24:K24)+SUM(ca!B24:K24)+SUM(cb!B24:K24)),0)</f>
        <v/>
      </c>
    </row>
    <row r="25">
      <c r="A25" t="n">
        <v>23</v>
      </c>
      <c r="B25">
        <f>IFERROR((SUM(ca!B25:K25)+SUM(cb!B25:K25))/(SUM(z!B25:K25)+SUM(o!B25:K25)+SUM(ca!B25:K25)+SUM(cb!B25:K25)),0)</f>
        <v/>
      </c>
    </row>
    <row r="26">
      <c r="A26" t="n">
        <v>24</v>
      </c>
      <c r="B26">
        <f>IFERROR((SUM(ca!B26:K26)+SUM(cb!B26:K26))/(SUM(z!B26:K26)+SUM(o!B26:K26)+SUM(ca!B26:K26)+SUM(cb!B26:K26)),0)</f>
        <v/>
      </c>
    </row>
    <row r="27">
      <c r="A27" t="n">
        <v>25</v>
      </c>
      <c r="B27">
        <f>IFERROR((SUM(ca!B27:K27)+SUM(cb!B27:K27))/(SUM(z!B27:K27)+SUM(o!B27:K27)+SUM(ca!B27:K27)+SUM(cb!B27:K27)),0)</f>
        <v/>
      </c>
    </row>
    <row r="28">
      <c r="A28" t="n">
        <v>26</v>
      </c>
      <c r="B28">
        <f>IFERROR((SUM(ca!B28:K28)+SUM(cb!B28:K28))/(SUM(z!B28:K28)+SUM(o!B28:K28)+SUM(ca!B28:K28)+SUM(cb!B28:K28)),0)</f>
        <v/>
      </c>
    </row>
    <row r="29">
      <c r="A29" t="n">
        <v>27</v>
      </c>
      <c r="B29">
        <f>IFERROR((SUM(ca!B29:K29)+SUM(cb!B29:K29))/(SUM(z!B29:K29)+SUM(o!B29:K29)+SUM(ca!B29:K29)+SUM(cb!B29:K29)),0)</f>
        <v/>
      </c>
    </row>
    <row r="30">
      <c r="A30" t="n">
        <v>28</v>
      </c>
      <c r="B30">
        <f>IFERROR((SUM(ca!B30:K30)+SUM(cb!B30:K30))/(SUM(z!B30:K30)+SUM(o!B30:K30)+SUM(ca!B30:K30)+SUM(cb!B30:K30)),0)</f>
        <v/>
      </c>
    </row>
    <row r="31">
      <c r="A31" t="n">
        <v>29</v>
      </c>
      <c r="B31">
        <f>IFERROR((SUM(ca!B31:K31)+SUM(cb!B31:K31))/(SUM(z!B31:K31)+SUM(o!B31:K31)+SUM(ca!B31:K31)+SUM(cb!B31:K31)),0)</f>
        <v/>
      </c>
    </row>
    <row r="32">
      <c r="A32" t="n">
        <v>30</v>
      </c>
      <c r="B32">
        <f>IFERROR((SUM(ca!B32:K32)+SUM(cb!B32:K32))/(SUM(z!B32:K32)+SUM(o!B32:K32)+SUM(ca!B32:K32)+SUM(cb!B32:K32)),0)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t \ a</t>
        </is>
      </c>
      <c r="B1" s="1" t="inlineStr">
        <is>
          <t>a=1</t>
        </is>
      </c>
      <c r="C1" s="1" t="inlineStr">
        <is>
          <t>a=2</t>
        </is>
      </c>
      <c r="D1" s="1" t="inlineStr">
        <is>
          <t>a=3</t>
        </is>
      </c>
      <c r="E1" s="1" t="inlineStr">
        <is>
          <t>a=4</t>
        </is>
      </c>
      <c r="F1" s="1" t="inlineStr">
        <is>
          <t>a=5</t>
        </is>
      </c>
      <c r="G1" s="1" t="inlineStr">
        <is>
          <t>a=6</t>
        </is>
      </c>
      <c r="H1" s="1" t="inlineStr">
        <is>
          <t>a=7</t>
        </is>
      </c>
      <c r="I1" s="1" t="inlineStr">
        <is>
          <t>a=8</t>
        </is>
      </c>
      <c r="J1" s="1" t="inlineStr">
        <is>
          <t>a=9</t>
        </is>
      </c>
      <c r="K1" s="1" t="inlineStr">
        <is>
          <t>a=10</t>
        </is>
      </c>
    </row>
    <row r="2">
      <c r="A2" t="n">
        <v>0</v>
      </c>
      <c r="B2">
        <f>0</f>
        <v/>
      </c>
      <c r="C2">
        <f>MAX(0,MIN(1,_xlfn.NORM.INV(RAND(),mu_r_24,sig_r_24)))</f>
        <v/>
      </c>
      <c r="D2">
        <f>MAX(0,MIN(1,_xlfn.NORM.INV(RAND(),mu_r_24,sig_r_24)))</f>
        <v/>
      </c>
      <c r="E2">
        <f>MAX(0,MIN(1,_xlfn.NORM.INV(RAND(),mu_r_24,sig_r_24)))</f>
        <v/>
      </c>
      <c r="F2">
        <f>MAX(0,MIN(1,_xlfn.NORM.INV(RAND(),mu_r_5p,sig_r_5p)))</f>
        <v/>
      </c>
      <c r="G2">
        <f>MAX(0,MIN(1,_xlfn.NORM.INV(RAND(),mu_r_5p,sig_r_5p)))</f>
        <v/>
      </c>
      <c r="H2">
        <f>MAX(0,MIN(1,_xlfn.NORM.INV(RAND(),mu_r_5p,sig_r_5p)))</f>
        <v/>
      </c>
      <c r="I2">
        <f>MAX(0,MIN(1,_xlfn.NORM.INV(RAND(),mu_r_5p,sig_r_5p)))</f>
        <v/>
      </c>
      <c r="J2">
        <f>MAX(0,MIN(1,_xlfn.NORM.INV(RAND(),mu_r_5p,sig_r_5p)))</f>
        <v/>
      </c>
      <c r="K2">
        <f>MAX(0,MIN(1,_xlfn.NORM.INV(RAND(),mu_r_5p,sig_r_5p)))</f>
        <v/>
      </c>
    </row>
    <row r="3">
      <c r="A3" t="n">
        <v>1</v>
      </c>
      <c r="B3">
        <f>0</f>
        <v/>
      </c>
      <c r="C3">
        <f>MAX(0,MIN(1,_xlfn.NORM.INV(RAND(),mu_r_24,sig_r_24)))</f>
        <v/>
      </c>
      <c r="D3">
        <f>MAX(0,MIN(1,_xlfn.NORM.INV(RAND(),mu_r_24,sig_r_24)))</f>
        <v/>
      </c>
      <c r="E3">
        <f>MAX(0,MIN(1,_xlfn.NORM.INV(RAND(),mu_r_24,sig_r_24)))</f>
        <v/>
      </c>
      <c r="F3">
        <f>MAX(0,MIN(1,_xlfn.NORM.INV(RAND(),mu_r_5p,sig_r_5p)))</f>
        <v/>
      </c>
      <c r="G3">
        <f>MAX(0,MIN(1,_xlfn.NORM.INV(RAND(),mu_r_5p,sig_r_5p)))</f>
        <v/>
      </c>
      <c r="H3">
        <f>MAX(0,MIN(1,_xlfn.NORM.INV(RAND(),mu_r_5p,sig_r_5p)))</f>
        <v/>
      </c>
      <c r="I3">
        <f>MAX(0,MIN(1,_xlfn.NORM.INV(RAND(),mu_r_5p,sig_r_5p)))</f>
        <v/>
      </c>
      <c r="J3">
        <f>MAX(0,MIN(1,_xlfn.NORM.INV(RAND(),mu_r_5p,sig_r_5p)))</f>
        <v/>
      </c>
      <c r="K3">
        <f>MAX(0,MIN(1,_xlfn.NORM.INV(RAND(),mu_r_5p,sig_r_5p)))</f>
        <v/>
      </c>
    </row>
    <row r="4">
      <c r="A4" t="n">
        <v>2</v>
      </c>
      <c r="B4">
        <f>0</f>
        <v/>
      </c>
      <c r="C4">
        <f>MAX(0,MIN(1,_xlfn.NORM.INV(RAND(),mu_r_24,sig_r_24)))</f>
        <v/>
      </c>
      <c r="D4">
        <f>MAX(0,MIN(1,_xlfn.NORM.INV(RAND(),mu_r_24,sig_r_24)))</f>
        <v/>
      </c>
      <c r="E4">
        <f>MAX(0,MIN(1,_xlfn.NORM.INV(RAND(),mu_r_24,sig_r_24)))</f>
        <v/>
      </c>
      <c r="F4">
        <f>MAX(0,MIN(1,_xlfn.NORM.INV(RAND(),mu_r_5p,sig_r_5p)))</f>
        <v/>
      </c>
      <c r="G4">
        <f>MAX(0,MIN(1,_xlfn.NORM.INV(RAND(),mu_r_5p,sig_r_5p)))</f>
        <v/>
      </c>
      <c r="H4">
        <f>MAX(0,MIN(1,_xlfn.NORM.INV(RAND(),mu_r_5p,sig_r_5p)))</f>
        <v/>
      </c>
      <c r="I4">
        <f>MAX(0,MIN(1,_xlfn.NORM.INV(RAND(),mu_r_5p,sig_r_5p)))</f>
        <v/>
      </c>
      <c r="J4">
        <f>MAX(0,MIN(1,_xlfn.NORM.INV(RAND(),mu_r_5p,sig_r_5p)))</f>
        <v/>
      </c>
      <c r="K4">
        <f>MAX(0,MIN(1,_xlfn.NORM.INV(RAND(),mu_r_5p,sig_r_5p)))</f>
        <v/>
      </c>
    </row>
    <row r="5">
      <c r="A5" t="n">
        <v>3</v>
      </c>
      <c r="B5">
        <f>0</f>
        <v/>
      </c>
      <c r="C5">
        <f>MAX(0,MIN(1,_xlfn.NORM.INV(RAND(),mu_r_24,sig_r_24)))</f>
        <v/>
      </c>
      <c r="D5">
        <f>MAX(0,MIN(1,_xlfn.NORM.INV(RAND(),mu_r_24,sig_r_24)))</f>
        <v/>
      </c>
      <c r="E5">
        <f>MAX(0,MIN(1,_xlfn.NORM.INV(RAND(),mu_r_24,sig_r_24)))</f>
        <v/>
      </c>
      <c r="F5">
        <f>MAX(0,MIN(1,_xlfn.NORM.INV(RAND(),mu_r_5p,sig_r_5p)))</f>
        <v/>
      </c>
      <c r="G5">
        <f>MAX(0,MIN(1,_xlfn.NORM.INV(RAND(),mu_r_5p,sig_r_5p)))</f>
        <v/>
      </c>
      <c r="H5">
        <f>MAX(0,MIN(1,_xlfn.NORM.INV(RAND(),mu_r_5p,sig_r_5p)))</f>
        <v/>
      </c>
      <c r="I5">
        <f>MAX(0,MIN(1,_xlfn.NORM.INV(RAND(),mu_r_5p,sig_r_5p)))</f>
        <v/>
      </c>
      <c r="J5">
        <f>MAX(0,MIN(1,_xlfn.NORM.INV(RAND(),mu_r_5p,sig_r_5p)))</f>
        <v/>
      </c>
      <c r="K5">
        <f>MAX(0,MIN(1,_xlfn.NORM.INV(RAND(),mu_r_5p,sig_r_5p)))</f>
        <v/>
      </c>
    </row>
    <row r="6">
      <c r="A6" t="n">
        <v>4</v>
      </c>
      <c r="B6">
        <f>0</f>
        <v/>
      </c>
      <c r="C6">
        <f>MAX(0,MIN(1,_xlfn.NORM.INV(RAND(),mu_r_24,sig_r_24)))</f>
        <v/>
      </c>
      <c r="D6">
        <f>MAX(0,MIN(1,_xlfn.NORM.INV(RAND(),mu_r_24,sig_r_24)))</f>
        <v/>
      </c>
      <c r="E6">
        <f>MAX(0,MIN(1,_xlfn.NORM.INV(RAND(),mu_r_24,sig_r_24)))</f>
        <v/>
      </c>
      <c r="F6">
        <f>MAX(0,MIN(1,_xlfn.NORM.INV(RAND(),mu_r_5p,sig_r_5p)))</f>
        <v/>
      </c>
      <c r="G6">
        <f>MAX(0,MIN(1,_xlfn.NORM.INV(RAND(),mu_r_5p,sig_r_5p)))</f>
        <v/>
      </c>
      <c r="H6">
        <f>MAX(0,MIN(1,_xlfn.NORM.INV(RAND(),mu_r_5p,sig_r_5p)))</f>
        <v/>
      </c>
      <c r="I6">
        <f>MAX(0,MIN(1,_xlfn.NORM.INV(RAND(),mu_r_5p,sig_r_5p)))</f>
        <v/>
      </c>
      <c r="J6">
        <f>MAX(0,MIN(1,_xlfn.NORM.INV(RAND(),mu_r_5p,sig_r_5p)))</f>
        <v/>
      </c>
      <c r="K6">
        <f>MAX(0,MIN(1,_xlfn.NORM.INV(RAND(),mu_r_5p,sig_r_5p)))</f>
        <v/>
      </c>
    </row>
    <row r="7">
      <c r="A7" t="n">
        <v>5</v>
      </c>
      <c r="B7">
        <f>0</f>
        <v/>
      </c>
      <c r="C7">
        <f>MAX(0,MIN(1,_xlfn.NORM.INV(RAND(),mu_r_24,sig_r_24)))</f>
        <v/>
      </c>
      <c r="D7">
        <f>MAX(0,MIN(1,_xlfn.NORM.INV(RAND(),mu_r_24,sig_r_24)))</f>
        <v/>
      </c>
      <c r="E7">
        <f>MAX(0,MIN(1,_xlfn.NORM.INV(RAND(),mu_r_24,sig_r_24)))</f>
        <v/>
      </c>
      <c r="F7">
        <f>MAX(0,MIN(1,_xlfn.NORM.INV(RAND(),mu_r_5p,sig_r_5p)))</f>
        <v/>
      </c>
      <c r="G7">
        <f>MAX(0,MIN(1,_xlfn.NORM.INV(RAND(),mu_r_5p,sig_r_5p)))</f>
        <v/>
      </c>
      <c r="H7">
        <f>MAX(0,MIN(1,_xlfn.NORM.INV(RAND(),mu_r_5p,sig_r_5p)))</f>
        <v/>
      </c>
      <c r="I7">
        <f>MAX(0,MIN(1,_xlfn.NORM.INV(RAND(),mu_r_5p,sig_r_5p)))</f>
        <v/>
      </c>
      <c r="J7">
        <f>MAX(0,MIN(1,_xlfn.NORM.INV(RAND(),mu_r_5p,sig_r_5p)))</f>
        <v/>
      </c>
      <c r="K7">
        <f>MAX(0,MIN(1,_xlfn.NORM.INV(RAND(),mu_r_5p,sig_r_5p)))</f>
        <v/>
      </c>
    </row>
    <row r="8">
      <c r="A8" t="n">
        <v>6</v>
      </c>
      <c r="B8">
        <f>0</f>
        <v/>
      </c>
      <c r="C8">
        <f>MAX(0,MIN(1,_xlfn.NORM.INV(RAND(),mu_r_24,sig_r_24)))</f>
        <v/>
      </c>
      <c r="D8">
        <f>MAX(0,MIN(1,_xlfn.NORM.INV(RAND(),mu_r_24,sig_r_24)))</f>
        <v/>
      </c>
      <c r="E8">
        <f>MAX(0,MIN(1,_xlfn.NORM.INV(RAND(),mu_r_24,sig_r_24)))</f>
        <v/>
      </c>
      <c r="F8">
        <f>MAX(0,MIN(1,_xlfn.NORM.INV(RAND(),mu_r_5p,sig_r_5p)))</f>
        <v/>
      </c>
      <c r="G8">
        <f>MAX(0,MIN(1,_xlfn.NORM.INV(RAND(),mu_r_5p,sig_r_5p)))</f>
        <v/>
      </c>
      <c r="H8">
        <f>MAX(0,MIN(1,_xlfn.NORM.INV(RAND(),mu_r_5p,sig_r_5p)))</f>
        <v/>
      </c>
      <c r="I8">
        <f>MAX(0,MIN(1,_xlfn.NORM.INV(RAND(),mu_r_5p,sig_r_5p)))</f>
        <v/>
      </c>
      <c r="J8">
        <f>MAX(0,MIN(1,_xlfn.NORM.INV(RAND(),mu_r_5p,sig_r_5p)))</f>
        <v/>
      </c>
      <c r="K8">
        <f>MAX(0,MIN(1,_xlfn.NORM.INV(RAND(),mu_r_5p,sig_r_5p)))</f>
        <v/>
      </c>
    </row>
    <row r="9">
      <c r="A9" t="n">
        <v>7</v>
      </c>
      <c r="B9">
        <f>0</f>
        <v/>
      </c>
      <c r="C9">
        <f>MAX(0,MIN(1,_xlfn.NORM.INV(RAND(),mu_r_24,sig_r_24)))</f>
        <v/>
      </c>
      <c r="D9">
        <f>MAX(0,MIN(1,_xlfn.NORM.INV(RAND(),mu_r_24,sig_r_24)))</f>
        <v/>
      </c>
      <c r="E9">
        <f>MAX(0,MIN(1,_xlfn.NORM.INV(RAND(),mu_r_24,sig_r_24)))</f>
        <v/>
      </c>
      <c r="F9">
        <f>MAX(0,MIN(1,_xlfn.NORM.INV(RAND(),mu_r_5p,sig_r_5p)))</f>
        <v/>
      </c>
      <c r="G9">
        <f>MAX(0,MIN(1,_xlfn.NORM.INV(RAND(),mu_r_5p,sig_r_5p)))</f>
        <v/>
      </c>
      <c r="H9">
        <f>MAX(0,MIN(1,_xlfn.NORM.INV(RAND(),mu_r_5p,sig_r_5p)))</f>
        <v/>
      </c>
      <c r="I9">
        <f>MAX(0,MIN(1,_xlfn.NORM.INV(RAND(),mu_r_5p,sig_r_5p)))</f>
        <v/>
      </c>
      <c r="J9">
        <f>MAX(0,MIN(1,_xlfn.NORM.INV(RAND(),mu_r_5p,sig_r_5p)))</f>
        <v/>
      </c>
      <c r="K9">
        <f>MAX(0,MIN(1,_xlfn.NORM.INV(RAND(),mu_r_5p,sig_r_5p)))</f>
        <v/>
      </c>
    </row>
    <row r="10">
      <c r="A10" t="n">
        <v>8</v>
      </c>
      <c r="B10">
        <f>0</f>
        <v/>
      </c>
      <c r="C10">
        <f>MAX(0,MIN(1,_xlfn.NORM.INV(RAND(),mu_r_24,sig_r_24)))</f>
        <v/>
      </c>
      <c r="D10">
        <f>MAX(0,MIN(1,_xlfn.NORM.INV(RAND(),mu_r_24,sig_r_24)))</f>
        <v/>
      </c>
      <c r="E10">
        <f>MAX(0,MIN(1,_xlfn.NORM.INV(RAND(),mu_r_24,sig_r_24)))</f>
        <v/>
      </c>
      <c r="F10">
        <f>MAX(0,MIN(1,_xlfn.NORM.INV(RAND(),mu_r_5p,sig_r_5p)))</f>
        <v/>
      </c>
      <c r="G10">
        <f>MAX(0,MIN(1,_xlfn.NORM.INV(RAND(),mu_r_5p,sig_r_5p)))</f>
        <v/>
      </c>
      <c r="H10">
        <f>MAX(0,MIN(1,_xlfn.NORM.INV(RAND(),mu_r_5p,sig_r_5p)))</f>
        <v/>
      </c>
      <c r="I10">
        <f>MAX(0,MIN(1,_xlfn.NORM.INV(RAND(),mu_r_5p,sig_r_5p)))</f>
        <v/>
      </c>
      <c r="J10">
        <f>MAX(0,MIN(1,_xlfn.NORM.INV(RAND(),mu_r_5p,sig_r_5p)))</f>
        <v/>
      </c>
      <c r="K10">
        <f>MAX(0,MIN(1,_xlfn.NORM.INV(RAND(),mu_r_5p,sig_r_5p)))</f>
        <v/>
      </c>
    </row>
    <row r="11">
      <c r="A11" t="n">
        <v>9</v>
      </c>
      <c r="B11">
        <f>0</f>
        <v/>
      </c>
      <c r="C11">
        <f>MAX(0,MIN(1,_xlfn.NORM.INV(RAND(),mu_r_24,sig_r_24)))</f>
        <v/>
      </c>
      <c r="D11">
        <f>MAX(0,MIN(1,_xlfn.NORM.INV(RAND(),mu_r_24,sig_r_24)))</f>
        <v/>
      </c>
      <c r="E11">
        <f>MAX(0,MIN(1,_xlfn.NORM.INV(RAND(),mu_r_24,sig_r_24)))</f>
        <v/>
      </c>
      <c r="F11">
        <f>MAX(0,MIN(1,_xlfn.NORM.INV(RAND(),mu_r_5p,sig_r_5p)))</f>
        <v/>
      </c>
      <c r="G11">
        <f>MAX(0,MIN(1,_xlfn.NORM.INV(RAND(),mu_r_5p,sig_r_5p)))</f>
        <v/>
      </c>
      <c r="H11">
        <f>MAX(0,MIN(1,_xlfn.NORM.INV(RAND(),mu_r_5p,sig_r_5p)))</f>
        <v/>
      </c>
      <c r="I11">
        <f>MAX(0,MIN(1,_xlfn.NORM.INV(RAND(),mu_r_5p,sig_r_5p)))</f>
        <v/>
      </c>
      <c r="J11">
        <f>MAX(0,MIN(1,_xlfn.NORM.INV(RAND(),mu_r_5p,sig_r_5p)))</f>
        <v/>
      </c>
      <c r="K11">
        <f>MAX(0,MIN(1,_xlfn.NORM.INV(RAND(),mu_r_5p,sig_r_5p)))</f>
        <v/>
      </c>
    </row>
    <row r="12">
      <c r="A12" t="n">
        <v>10</v>
      </c>
      <c r="B12">
        <f>0</f>
        <v/>
      </c>
      <c r="C12">
        <f>MAX(0,MIN(1,_xlfn.NORM.INV(RAND(),mu_r_24,sig_r_24)))</f>
        <v/>
      </c>
      <c r="D12">
        <f>MAX(0,MIN(1,_xlfn.NORM.INV(RAND(),mu_r_24,sig_r_24)))</f>
        <v/>
      </c>
      <c r="E12">
        <f>MAX(0,MIN(1,_xlfn.NORM.INV(RAND(),mu_r_24,sig_r_24)))</f>
        <v/>
      </c>
      <c r="F12">
        <f>MAX(0,MIN(1,_xlfn.NORM.INV(RAND(),mu_r_5p,sig_r_5p)))</f>
        <v/>
      </c>
      <c r="G12">
        <f>MAX(0,MIN(1,_xlfn.NORM.INV(RAND(),mu_r_5p,sig_r_5p)))</f>
        <v/>
      </c>
      <c r="H12">
        <f>MAX(0,MIN(1,_xlfn.NORM.INV(RAND(),mu_r_5p,sig_r_5p)))</f>
        <v/>
      </c>
      <c r="I12">
        <f>MAX(0,MIN(1,_xlfn.NORM.INV(RAND(),mu_r_5p,sig_r_5p)))</f>
        <v/>
      </c>
      <c r="J12">
        <f>MAX(0,MIN(1,_xlfn.NORM.INV(RAND(),mu_r_5p,sig_r_5p)))</f>
        <v/>
      </c>
      <c r="K12">
        <f>MAX(0,MIN(1,_xlfn.NORM.INV(RAND(),mu_r_5p,sig_r_5p)))</f>
        <v/>
      </c>
    </row>
    <row r="13">
      <c r="A13" t="n">
        <v>11</v>
      </c>
      <c r="B13">
        <f>0</f>
        <v/>
      </c>
      <c r="C13">
        <f>MAX(0,MIN(1,_xlfn.NORM.INV(RAND(),mu_r_24,sig_r_24)))</f>
        <v/>
      </c>
      <c r="D13">
        <f>MAX(0,MIN(1,_xlfn.NORM.INV(RAND(),mu_r_24,sig_r_24)))</f>
        <v/>
      </c>
      <c r="E13">
        <f>MAX(0,MIN(1,_xlfn.NORM.INV(RAND(),mu_r_24,sig_r_24)))</f>
        <v/>
      </c>
      <c r="F13">
        <f>MAX(0,MIN(1,_xlfn.NORM.INV(RAND(),mu_r_5p,sig_r_5p)))</f>
        <v/>
      </c>
      <c r="G13">
        <f>MAX(0,MIN(1,_xlfn.NORM.INV(RAND(),mu_r_5p,sig_r_5p)))</f>
        <v/>
      </c>
      <c r="H13">
        <f>MAX(0,MIN(1,_xlfn.NORM.INV(RAND(),mu_r_5p,sig_r_5p)))</f>
        <v/>
      </c>
      <c r="I13">
        <f>MAX(0,MIN(1,_xlfn.NORM.INV(RAND(),mu_r_5p,sig_r_5p)))</f>
        <v/>
      </c>
      <c r="J13">
        <f>MAX(0,MIN(1,_xlfn.NORM.INV(RAND(),mu_r_5p,sig_r_5p)))</f>
        <v/>
      </c>
      <c r="K13">
        <f>MAX(0,MIN(1,_xlfn.NORM.INV(RAND(),mu_r_5p,sig_r_5p)))</f>
        <v/>
      </c>
    </row>
    <row r="14">
      <c r="A14" t="n">
        <v>12</v>
      </c>
      <c r="B14">
        <f>0</f>
        <v/>
      </c>
      <c r="C14">
        <f>MAX(0,MIN(1,_xlfn.NORM.INV(RAND(),mu_r_24,sig_r_24)))</f>
        <v/>
      </c>
      <c r="D14">
        <f>MAX(0,MIN(1,_xlfn.NORM.INV(RAND(),mu_r_24,sig_r_24)))</f>
        <v/>
      </c>
      <c r="E14">
        <f>MAX(0,MIN(1,_xlfn.NORM.INV(RAND(),mu_r_24,sig_r_24)))</f>
        <v/>
      </c>
      <c r="F14">
        <f>MAX(0,MIN(1,_xlfn.NORM.INV(RAND(),mu_r_5p,sig_r_5p)))</f>
        <v/>
      </c>
      <c r="G14">
        <f>MAX(0,MIN(1,_xlfn.NORM.INV(RAND(),mu_r_5p,sig_r_5p)))</f>
        <v/>
      </c>
      <c r="H14">
        <f>MAX(0,MIN(1,_xlfn.NORM.INV(RAND(),mu_r_5p,sig_r_5p)))</f>
        <v/>
      </c>
      <c r="I14">
        <f>MAX(0,MIN(1,_xlfn.NORM.INV(RAND(),mu_r_5p,sig_r_5p)))</f>
        <v/>
      </c>
      <c r="J14">
        <f>MAX(0,MIN(1,_xlfn.NORM.INV(RAND(),mu_r_5p,sig_r_5p)))</f>
        <v/>
      </c>
      <c r="K14">
        <f>MAX(0,MIN(1,_xlfn.NORM.INV(RAND(),mu_r_5p,sig_r_5p)))</f>
        <v/>
      </c>
    </row>
    <row r="15">
      <c r="A15" t="n">
        <v>13</v>
      </c>
      <c r="B15">
        <f>0</f>
        <v/>
      </c>
      <c r="C15">
        <f>MAX(0,MIN(1,_xlfn.NORM.INV(RAND(),mu_r_24,sig_r_24)))</f>
        <v/>
      </c>
      <c r="D15">
        <f>MAX(0,MIN(1,_xlfn.NORM.INV(RAND(),mu_r_24,sig_r_24)))</f>
        <v/>
      </c>
      <c r="E15">
        <f>MAX(0,MIN(1,_xlfn.NORM.INV(RAND(),mu_r_24,sig_r_24)))</f>
        <v/>
      </c>
      <c r="F15">
        <f>MAX(0,MIN(1,_xlfn.NORM.INV(RAND(),mu_r_5p,sig_r_5p)))</f>
        <v/>
      </c>
      <c r="G15">
        <f>MAX(0,MIN(1,_xlfn.NORM.INV(RAND(),mu_r_5p,sig_r_5p)))</f>
        <v/>
      </c>
      <c r="H15">
        <f>MAX(0,MIN(1,_xlfn.NORM.INV(RAND(),mu_r_5p,sig_r_5p)))</f>
        <v/>
      </c>
      <c r="I15">
        <f>MAX(0,MIN(1,_xlfn.NORM.INV(RAND(),mu_r_5p,sig_r_5p)))</f>
        <v/>
      </c>
      <c r="J15">
        <f>MAX(0,MIN(1,_xlfn.NORM.INV(RAND(),mu_r_5p,sig_r_5p)))</f>
        <v/>
      </c>
      <c r="K15">
        <f>MAX(0,MIN(1,_xlfn.NORM.INV(RAND(),mu_r_5p,sig_r_5p)))</f>
        <v/>
      </c>
    </row>
    <row r="16">
      <c r="A16" t="n">
        <v>14</v>
      </c>
      <c r="B16">
        <f>0</f>
        <v/>
      </c>
      <c r="C16">
        <f>MAX(0,MIN(1,_xlfn.NORM.INV(RAND(),mu_r_24,sig_r_24)))</f>
        <v/>
      </c>
      <c r="D16">
        <f>MAX(0,MIN(1,_xlfn.NORM.INV(RAND(),mu_r_24,sig_r_24)))</f>
        <v/>
      </c>
      <c r="E16">
        <f>MAX(0,MIN(1,_xlfn.NORM.INV(RAND(),mu_r_24,sig_r_24)))</f>
        <v/>
      </c>
      <c r="F16">
        <f>MAX(0,MIN(1,_xlfn.NORM.INV(RAND(),mu_r_5p,sig_r_5p)))</f>
        <v/>
      </c>
      <c r="G16">
        <f>MAX(0,MIN(1,_xlfn.NORM.INV(RAND(),mu_r_5p,sig_r_5p)))</f>
        <v/>
      </c>
      <c r="H16">
        <f>MAX(0,MIN(1,_xlfn.NORM.INV(RAND(),mu_r_5p,sig_r_5p)))</f>
        <v/>
      </c>
      <c r="I16">
        <f>MAX(0,MIN(1,_xlfn.NORM.INV(RAND(),mu_r_5p,sig_r_5p)))</f>
        <v/>
      </c>
      <c r="J16">
        <f>MAX(0,MIN(1,_xlfn.NORM.INV(RAND(),mu_r_5p,sig_r_5p)))</f>
        <v/>
      </c>
      <c r="K16">
        <f>MAX(0,MIN(1,_xlfn.NORM.INV(RAND(),mu_r_5p,sig_r_5p)))</f>
        <v/>
      </c>
    </row>
    <row r="17">
      <c r="A17" t="n">
        <v>15</v>
      </c>
      <c r="B17">
        <f>0</f>
        <v/>
      </c>
      <c r="C17">
        <f>MAX(0,MIN(1,_xlfn.NORM.INV(RAND(),mu_r_24,sig_r_24)))</f>
        <v/>
      </c>
      <c r="D17">
        <f>MAX(0,MIN(1,_xlfn.NORM.INV(RAND(),mu_r_24,sig_r_24)))</f>
        <v/>
      </c>
      <c r="E17">
        <f>MAX(0,MIN(1,_xlfn.NORM.INV(RAND(),mu_r_24,sig_r_24)))</f>
        <v/>
      </c>
      <c r="F17">
        <f>MAX(0,MIN(1,_xlfn.NORM.INV(RAND(),mu_r_5p,sig_r_5p)))</f>
        <v/>
      </c>
      <c r="G17">
        <f>MAX(0,MIN(1,_xlfn.NORM.INV(RAND(),mu_r_5p,sig_r_5p)))</f>
        <v/>
      </c>
      <c r="H17">
        <f>MAX(0,MIN(1,_xlfn.NORM.INV(RAND(),mu_r_5p,sig_r_5p)))</f>
        <v/>
      </c>
      <c r="I17">
        <f>MAX(0,MIN(1,_xlfn.NORM.INV(RAND(),mu_r_5p,sig_r_5p)))</f>
        <v/>
      </c>
      <c r="J17">
        <f>MAX(0,MIN(1,_xlfn.NORM.INV(RAND(),mu_r_5p,sig_r_5p)))</f>
        <v/>
      </c>
      <c r="K17">
        <f>MAX(0,MIN(1,_xlfn.NORM.INV(RAND(),mu_r_5p,sig_r_5p)))</f>
        <v/>
      </c>
    </row>
    <row r="18">
      <c r="A18" t="n">
        <v>16</v>
      </c>
      <c r="B18">
        <f>0</f>
        <v/>
      </c>
      <c r="C18">
        <f>MAX(0,MIN(1,_xlfn.NORM.INV(RAND(),mu_r_24,sig_r_24)))</f>
        <v/>
      </c>
      <c r="D18">
        <f>MAX(0,MIN(1,_xlfn.NORM.INV(RAND(),mu_r_24,sig_r_24)))</f>
        <v/>
      </c>
      <c r="E18">
        <f>MAX(0,MIN(1,_xlfn.NORM.INV(RAND(),mu_r_24,sig_r_24)))</f>
        <v/>
      </c>
      <c r="F18">
        <f>MAX(0,MIN(1,_xlfn.NORM.INV(RAND(),mu_r_5p,sig_r_5p)))</f>
        <v/>
      </c>
      <c r="G18">
        <f>MAX(0,MIN(1,_xlfn.NORM.INV(RAND(),mu_r_5p,sig_r_5p)))</f>
        <v/>
      </c>
      <c r="H18">
        <f>MAX(0,MIN(1,_xlfn.NORM.INV(RAND(),mu_r_5p,sig_r_5p)))</f>
        <v/>
      </c>
      <c r="I18">
        <f>MAX(0,MIN(1,_xlfn.NORM.INV(RAND(),mu_r_5p,sig_r_5p)))</f>
        <v/>
      </c>
      <c r="J18">
        <f>MAX(0,MIN(1,_xlfn.NORM.INV(RAND(),mu_r_5p,sig_r_5p)))</f>
        <v/>
      </c>
      <c r="K18">
        <f>MAX(0,MIN(1,_xlfn.NORM.INV(RAND(),mu_r_5p,sig_r_5p)))</f>
        <v/>
      </c>
    </row>
    <row r="19">
      <c r="A19" t="n">
        <v>17</v>
      </c>
      <c r="B19">
        <f>0</f>
        <v/>
      </c>
      <c r="C19">
        <f>MAX(0,MIN(1,_xlfn.NORM.INV(RAND(),mu_r_24,sig_r_24)))</f>
        <v/>
      </c>
      <c r="D19">
        <f>MAX(0,MIN(1,_xlfn.NORM.INV(RAND(),mu_r_24,sig_r_24)))</f>
        <v/>
      </c>
      <c r="E19">
        <f>MAX(0,MIN(1,_xlfn.NORM.INV(RAND(),mu_r_24,sig_r_24)))</f>
        <v/>
      </c>
      <c r="F19">
        <f>MAX(0,MIN(1,_xlfn.NORM.INV(RAND(),mu_r_5p,sig_r_5p)))</f>
        <v/>
      </c>
      <c r="G19">
        <f>MAX(0,MIN(1,_xlfn.NORM.INV(RAND(),mu_r_5p,sig_r_5p)))</f>
        <v/>
      </c>
      <c r="H19">
        <f>MAX(0,MIN(1,_xlfn.NORM.INV(RAND(),mu_r_5p,sig_r_5p)))</f>
        <v/>
      </c>
      <c r="I19">
        <f>MAX(0,MIN(1,_xlfn.NORM.INV(RAND(),mu_r_5p,sig_r_5p)))</f>
        <v/>
      </c>
      <c r="J19">
        <f>MAX(0,MIN(1,_xlfn.NORM.INV(RAND(),mu_r_5p,sig_r_5p)))</f>
        <v/>
      </c>
      <c r="K19">
        <f>MAX(0,MIN(1,_xlfn.NORM.INV(RAND(),mu_r_5p,sig_r_5p)))</f>
        <v/>
      </c>
    </row>
    <row r="20">
      <c r="A20" t="n">
        <v>18</v>
      </c>
      <c r="B20">
        <f>0</f>
        <v/>
      </c>
      <c r="C20">
        <f>MAX(0,MIN(1,_xlfn.NORM.INV(RAND(),mu_r_24,sig_r_24)))</f>
        <v/>
      </c>
      <c r="D20">
        <f>MAX(0,MIN(1,_xlfn.NORM.INV(RAND(),mu_r_24,sig_r_24)))</f>
        <v/>
      </c>
      <c r="E20">
        <f>MAX(0,MIN(1,_xlfn.NORM.INV(RAND(),mu_r_24,sig_r_24)))</f>
        <v/>
      </c>
      <c r="F20">
        <f>MAX(0,MIN(1,_xlfn.NORM.INV(RAND(),mu_r_5p,sig_r_5p)))</f>
        <v/>
      </c>
      <c r="G20">
        <f>MAX(0,MIN(1,_xlfn.NORM.INV(RAND(),mu_r_5p,sig_r_5p)))</f>
        <v/>
      </c>
      <c r="H20">
        <f>MAX(0,MIN(1,_xlfn.NORM.INV(RAND(),mu_r_5p,sig_r_5p)))</f>
        <v/>
      </c>
      <c r="I20">
        <f>MAX(0,MIN(1,_xlfn.NORM.INV(RAND(),mu_r_5p,sig_r_5p)))</f>
        <v/>
      </c>
      <c r="J20">
        <f>MAX(0,MIN(1,_xlfn.NORM.INV(RAND(),mu_r_5p,sig_r_5p)))</f>
        <v/>
      </c>
      <c r="K20">
        <f>MAX(0,MIN(1,_xlfn.NORM.INV(RAND(),mu_r_5p,sig_r_5p)))</f>
        <v/>
      </c>
    </row>
    <row r="21">
      <c r="A21" t="n">
        <v>19</v>
      </c>
      <c r="B21">
        <f>0</f>
        <v/>
      </c>
      <c r="C21">
        <f>MAX(0,MIN(1,_xlfn.NORM.INV(RAND(),mu_r_24,sig_r_24)))</f>
        <v/>
      </c>
      <c r="D21">
        <f>MAX(0,MIN(1,_xlfn.NORM.INV(RAND(),mu_r_24,sig_r_24)))</f>
        <v/>
      </c>
      <c r="E21">
        <f>MAX(0,MIN(1,_xlfn.NORM.INV(RAND(),mu_r_24,sig_r_24)))</f>
        <v/>
      </c>
      <c r="F21">
        <f>MAX(0,MIN(1,_xlfn.NORM.INV(RAND(),mu_r_5p,sig_r_5p)))</f>
        <v/>
      </c>
      <c r="G21">
        <f>MAX(0,MIN(1,_xlfn.NORM.INV(RAND(),mu_r_5p,sig_r_5p)))</f>
        <v/>
      </c>
      <c r="H21">
        <f>MAX(0,MIN(1,_xlfn.NORM.INV(RAND(),mu_r_5p,sig_r_5p)))</f>
        <v/>
      </c>
      <c r="I21">
        <f>MAX(0,MIN(1,_xlfn.NORM.INV(RAND(),mu_r_5p,sig_r_5p)))</f>
        <v/>
      </c>
      <c r="J21">
        <f>MAX(0,MIN(1,_xlfn.NORM.INV(RAND(),mu_r_5p,sig_r_5p)))</f>
        <v/>
      </c>
      <c r="K21">
        <f>MAX(0,MIN(1,_xlfn.NORM.INV(RAND(),mu_r_5p,sig_r_5p)))</f>
        <v/>
      </c>
    </row>
    <row r="22">
      <c r="A22" t="n">
        <v>20</v>
      </c>
      <c r="B22">
        <f>0</f>
        <v/>
      </c>
      <c r="C22">
        <f>MAX(0,MIN(1,_xlfn.NORM.INV(RAND(),mu_r_24,sig_r_24)))</f>
        <v/>
      </c>
      <c r="D22">
        <f>MAX(0,MIN(1,_xlfn.NORM.INV(RAND(),mu_r_24,sig_r_24)))</f>
        <v/>
      </c>
      <c r="E22">
        <f>MAX(0,MIN(1,_xlfn.NORM.INV(RAND(),mu_r_24,sig_r_24)))</f>
        <v/>
      </c>
      <c r="F22">
        <f>MAX(0,MIN(1,_xlfn.NORM.INV(RAND(),mu_r_5p,sig_r_5p)))</f>
        <v/>
      </c>
      <c r="G22">
        <f>MAX(0,MIN(1,_xlfn.NORM.INV(RAND(),mu_r_5p,sig_r_5p)))</f>
        <v/>
      </c>
      <c r="H22">
        <f>MAX(0,MIN(1,_xlfn.NORM.INV(RAND(),mu_r_5p,sig_r_5p)))</f>
        <v/>
      </c>
      <c r="I22">
        <f>MAX(0,MIN(1,_xlfn.NORM.INV(RAND(),mu_r_5p,sig_r_5p)))</f>
        <v/>
      </c>
      <c r="J22">
        <f>MAX(0,MIN(1,_xlfn.NORM.INV(RAND(),mu_r_5p,sig_r_5p)))</f>
        <v/>
      </c>
      <c r="K22">
        <f>MAX(0,MIN(1,_xlfn.NORM.INV(RAND(),mu_r_5p,sig_r_5p)))</f>
        <v/>
      </c>
    </row>
    <row r="23">
      <c r="A23" t="n">
        <v>21</v>
      </c>
      <c r="B23">
        <f>0</f>
        <v/>
      </c>
      <c r="C23">
        <f>MAX(0,MIN(1,_xlfn.NORM.INV(RAND(),mu_r_24,sig_r_24)))</f>
        <v/>
      </c>
      <c r="D23">
        <f>MAX(0,MIN(1,_xlfn.NORM.INV(RAND(),mu_r_24,sig_r_24)))</f>
        <v/>
      </c>
      <c r="E23">
        <f>MAX(0,MIN(1,_xlfn.NORM.INV(RAND(),mu_r_24,sig_r_24)))</f>
        <v/>
      </c>
      <c r="F23">
        <f>MAX(0,MIN(1,_xlfn.NORM.INV(RAND(),mu_r_5p,sig_r_5p)))</f>
        <v/>
      </c>
      <c r="G23">
        <f>MAX(0,MIN(1,_xlfn.NORM.INV(RAND(),mu_r_5p,sig_r_5p)))</f>
        <v/>
      </c>
      <c r="H23">
        <f>MAX(0,MIN(1,_xlfn.NORM.INV(RAND(),mu_r_5p,sig_r_5p)))</f>
        <v/>
      </c>
      <c r="I23">
        <f>MAX(0,MIN(1,_xlfn.NORM.INV(RAND(),mu_r_5p,sig_r_5p)))</f>
        <v/>
      </c>
      <c r="J23">
        <f>MAX(0,MIN(1,_xlfn.NORM.INV(RAND(),mu_r_5p,sig_r_5p)))</f>
        <v/>
      </c>
      <c r="K23">
        <f>MAX(0,MIN(1,_xlfn.NORM.INV(RAND(),mu_r_5p,sig_r_5p)))</f>
        <v/>
      </c>
    </row>
    <row r="24">
      <c r="A24" t="n">
        <v>22</v>
      </c>
      <c r="B24">
        <f>0</f>
        <v/>
      </c>
      <c r="C24">
        <f>MAX(0,MIN(1,_xlfn.NORM.INV(RAND(),mu_r_24,sig_r_24)))</f>
        <v/>
      </c>
      <c r="D24">
        <f>MAX(0,MIN(1,_xlfn.NORM.INV(RAND(),mu_r_24,sig_r_24)))</f>
        <v/>
      </c>
      <c r="E24">
        <f>MAX(0,MIN(1,_xlfn.NORM.INV(RAND(),mu_r_24,sig_r_24)))</f>
        <v/>
      </c>
      <c r="F24">
        <f>MAX(0,MIN(1,_xlfn.NORM.INV(RAND(),mu_r_5p,sig_r_5p)))</f>
        <v/>
      </c>
      <c r="G24">
        <f>MAX(0,MIN(1,_xlfn.NORM.INV(RAND(),mu_r_5p,sig_r_5p)))</f>
        <v/>
      </c>
      <c r="H24">
        <f>MAX(0,MIN(1,_xlfn.NORM.INV(RAND(),mu_r_5p,sig_r_5p)))</f>
        <v/>
      </c>
      <c r="I24">
        <f>MAX(0,MIN(1,_xlfn.NORM.INV(RAND(),mu_r_5p,sig_r_5p)))</f>
        <v/>
      </c>
      <c r="J24">
        <f>MAX(0,MIN(1,_xlfn.NORM.INV(RAND(),mu_r_5p,sig_r_5p)))</f>
        <v/>
      </c>
      <c r="K24">
        <f>MAX(0,MIN(1,_xlfn.NORM.INV(RAND(),mu_r_5p,sig_r_5p)))</f>
        <v/>
      </c>
    </row>
    <row r="25">
      <c r="A25" t="n">
        <v>23</v>
      </c>
      <c r="B25">
        <f>0</f>
        <v/>
      </c>
      <c r="C25">
        <f>MAX(0,MIN(1,_xlfn.NORM.INV(RAND(),mu_r_24,sig_r_24)))</f>
        <v/>
      </c>
      <c r="D25">
        <f>MAX(0,MIN(1,_xlfn.NORM.INV(RAND(),mu_r_24,sig_r_24)))</f>
        <v/>
      </c>
      <c r="E25">
        <f>MAX(0,MIN(1,_xlfn.NORM.INV(RAND(),mu_r_24,sig_r_24)))</f>
        <v/>
      </c>
      <c r="F25">
        <f>MAX(0,MIN(1,_xlfn.NORM.INV(RAND(),mu_r_5p,sig_r_5p)))</f>
        <v/>
      </c>
      <c r="G25">
        <f>MAX(0,MIN(1,_xlfn.NORM.INV(RAND(),mu_r_5p,sig_r_5p)))</f>
        <v/>
      </c>
      <c r="H25">
        <f>MAX(0,MIN(1,_xlfn.NORM.INV(RAND(),mu_r_5p,sig_r_5p)))</f>
        <v/>
      </c>
      <c r="I25">
        <f>MAX(0,MIN(1,_xlfn.NORM.INV(RAND(),mu_r_5p,sig_r_5p)))</f>
        <v/>
      </c>
      <c r="J25">
        <f>MAX(0,MIN(1,_xlfn.NORM.INV(RAND(),mu_r_5p,sig_r_5p)))</f>
        <v/>
      </c>
      <c r="K25">
        <f>MAX(0,MIN(1,_xlfn.NORM.INV(RAND(),mu_r_5p,sig_r_5p)))</f>
        <v/>
      </c>
    </row>
    <row r="26">
      <c r="A26" t="n">
        <v>24</v>
      </c>
      <c r="B26">
        <f>0</f>
        <v/>
      </c>
      <c r="C26">
        <f>MAX(0,MIN(1,_xlfn.NORM.INV(RAND(),mu_r_24,sig_r_24)))</f>
        <v/>
      </c>
      <c r="D26">
        <f>MAX(0,MIN(1,_xlfn.NORM.INV(RAND(),mu_r_24,sig_r_24)))</f>
        <v/>
      </c>
      <c r="E26">
        <f>MAX(0,MIN(1,_xlfn.NORM.INV(RAND(),mu_r_24,sig_r_24)))</f>
        <v/>
      </c>
      <c r="F26">
        <f>MAX(0,MIN(1,_xlfn.NORM.INV(RAND(),mu_r_5p,sig_r_5p)))</f>
        <v/>
      </c>
      <c r="G26">
        <f>MAX(0,MIN(1,_xlfn.NORM.INV(RAND(),mu_r_5p,sig_r_5p)))</f>
        <v/>
      </c>
      <c r="H26">
        <f>MAX(0,MIN(1,_xlfn.NORM.INV(RAND(),mu_r_5p,sig_r_5p)))</f>
        <v/>
      </c>
      <c r="I26">
        <f>MAX(0,MIN(1,_xlfn.NORM.INV(RAND(),mu_r_5p,sig_r_5p)))</f>
        <v/>
      </c>
      <c r="J26">
        <f>MAX(0,MIN(1,_xlfn.NORM.INV(RAND(),mu_r_5p,sig_r_5p)))</f>
        <v/>
      </c>
      <c r="K26">
        <f>MAX(0,MIN(1,_xlfn.NORM.INV(RAND(),mu_r_5p,sig_r_5p)))</f>
        <v/>
      </c>
    </row>
    <row r="27">
      <c r="A27" t="n">
        <v>25</v>
      </c>
      <c r="B27">
        <f>0</f>
        <v/>
      </c>
      <c r="C27">
        <f>MAX(0,MIN(1,_xlfn.NORM.INV(RAND(),mu_r_24,sig_r_24)))</f>
        <v/>
      </c>
      <c r="D27">
        <f>MAX(0,MIN(1,_xlfn.NORM.INV(RAND(),mu_r_24,sig_r_24)))</f>
        <v/>
      </c>
      <c r="E27">
        <f>MAX(0,MIN(1,_xlfn.NORM.INV(RAND(),mu_r_24,sig_r_24)))</f>
        <v/>
      </c>
      <c r="F27">
        <f>MAX(0,MIN(1,_xlfn.NORM.INV(RAND(),mu_r_5p,sig_r_5p)))</f>
        <v/>
      </c>
      <c r="G27">
        <f>MAX(0,MIN(1,_xlfn.NORM.INV(RAND(),mu_r_5p,sig_r_5p)))</f>
        <v/>
      </c>
      <c r="H27">
        <f>MAX(0,MIN(1,_xlfn.NORM.INV(RAND(),mu_r_5p,sig_r_5p)))</f>
        <v/>
      </c>
      <c r="I27">
        <f>MAX(0,MIN(1,_xlfn.NORM.INV(RAND(),mu_r_5p,sig_r_5p)))</f>
        <v/>
      </c>
      <c r="J27">
        <f>MAX(0,MIN(1,_xlfn.NORM.INV(RAND(),mu_r_5p,sig_r_5p)))</f>
        <v/>
      </c>
      <c r="K27">
        <f>MAX(0,MIN(1,_xlfn.NORM.INV(RAND(),mu_r_5p,sig_r_5p)))</f>
        <v/>
      </c>
    </row>
    <row r="28">
      <c r="A28" t="n">
        <v>26</v>
      </c>
      <c r="B28">
        <f>0</f>
        <v/>
      </c>
      <c r="C28">
        <f>MAX(0,MIN(1,_xlfn.NORM.INV(RAND(),mu_r_24,sig_r_24)))</f>
        <v/>
      </c>
      <c r="D28">
        <f>MAX(0,MIN(1,_xlfn.NORM.INV(RAND(),mu_r_24,sig_r_24)))</f>
        <v/>
      </c>
      <c r="E28">
        <f>MAX(0,MIN(1,_xlfn.NORM.INV(RAND(),mu_r_24,sig_r_24)))</f>
        <v/>
      </c>
      <c r="F28">
        <f>MAX(0,MIN(1,_xlfn.NORM.INV(RAND(),mu_r_5p,sig_r_5p)))</f>
        <v/>
      </c>
      <c r="G28">
        <f>MAX(0,MIN(1,_xlfn.NORM.INV(RAND(),mu_r_5p,sig_r_5p)))</f>
        <v/>
      </c>
      <c r="H28">
        <f>MAX(0,MIN(1,_xlfn.NORM.INV(RAND(),mu_r_5p,sig_r_5p)))</f>
        <v/>
      </c>
      <c r="I28">
        <f>MAX(0,MIN(1,_xlfn.NORM.INV(RAND(),mu_r_5p,sig_r_5p)))</f>
        <v/>
      </c>
      <c r="J28">
        <f>MAX(0,MIN(1,_xlfn.NORM.INV(RAND(),mu_r_5p,sig_r_5p)))</f>
        <v/>
      </c>
      <c r="K28">
        <f>MAX(0,MIN(1,_xlfn.NORM.INV(RAND(),mu_r_5p,sig_r_5p)))</f>
        <v/>
      </c>
    </row>
    <row r="29">
      <c r="A29" t="n">
        <v>27</v>
      </c>
      <c r="B29">
        <f>0</f>
        <v/>
      </c>
      <c r="C29">
        <f>MAX(0,MIN(1,_xlfn.NORM.INV(RAND(),mu_r_24,sig_r_24)))</f>
        <v/>
      </c>
      <c r="D29">
        <f>MAX(0,MIN(1,_xlfn.NORM.INV(RAND(),mu_r_24,sig_r_24)))</f>
        <v/>
      </c>
      <c r="E29">
        <f>MAX(0,MIN(1,_xlfn.NORM.INV(RAND(),mu_r_24,sig_r_24)))</f>
        <v/>
      </c>
      <c r="F29">
        <f>MAX(0,MIN(1,_xlfn.NORM.INV(RAND(),mu_r_5p,sig_r_5p)))</f>
        <v/>
      </c>
      <c r="G29">
        <f>MAX(0,MIN(1,_xlfn.NORM.INV(RAND(),mu_r_5p,sig_r_5p)))</f>
        <v/>
      </c>
      <c r="H29">
        <f>MAX(0,MIN(1,_xlfn.NORM.INV(RAND(),mu_r_5p,sig_r_5p)))</f>
        <v/>
      </c>
      <c r="I29">
        <f>MAX(0,MIN(1,_xlfn.NORM.INV(RAND(),mu_r_5p,sig_r_5p)))</f>
        <v/>
      </c>
      <c r="J29">
        <f>MAX(0,MIN(1,_xlfn.NORM.INV(RAND(),mu_r_5p,sig_r_5p)))</f>
        <v/>
      </c>
      <c r="K29">
        <f>MAX(0,MIN(1,_xlfn.NORM.INV(RAND(),mu_r_5p,sig_r_5p)))</f>
        <v/>
      </c>
    </row>
    <row r="30">
      <c r="A30" t="n">
        <v>28</v>
      </c>
      <c r="B30">
        <f>0</f>
        <v/>
      </c>
      <c r="C30">
        <f>MAX(0,MIN(1,_xlfn.NORM.INV(RAND(),mu_r_24,sig_r_24)))</f>
        <v/>
      </c>
      <c r="D30">
        <f>MAX(0,MIN(1,_xlfn.NORM.INV(RAND(),mu_r_24,sig_r_24)))</f>
        <v/>
      </c>
      <c r="E30">
        <f>MAX(0,MIN(1,_xlfn.NORM.INV(RAND(),mu_r_24,sig_r_24)))</f>
        <v/>
      </c>
      <c r="F30">
        <f>MAX(0,MIN(1,_xlfn.NORM.INV(RAND(),mu_r_5p,sig_r_5p)))</f>
        <v/>
      </c>
      <c r="G30">
        <f>MAX(0,MIN(1,_xlfn.NORM.INV(RAND(),mu_r_5p,sig_r_5p)))</f>
        <v/>
      </c>
      <c r="H30">
        <f>MAX(0,MIN(1,_xlfn.NORM.INV(RAND(),mu_r_5p,sig_r_5p)))</f>
        <v/>
      </c>
      <c r="I30">
        <f>MAX(0,MIN(1,_xlfn.NORM.INV(RAND(),mu_r_5p,sig_r_5p)))</f>
        <v/>
      </c>
      <c r="J30">
        <f>MAX(0,MIN(1,_xlfn.NORM.INV(RAND(),mu_r_5p,sig_r_5p)))</f>
        <v/>
      </c>
      <c r="K30">
        <f>MAX(0,MIN(1,_xlfn.NORM.INV(RAND(),mu_r_5p,sig_r_5p)))</f>
        <v/>
      </c>
    </row>
    <row r="31">
      <c r="A31" t="n">
        <v>29</v>
      </c>
      <c r="B31">
        <f>0</f>
        <v/>
      </c>
      <c r="C31">
        <f>MAX(0,MIN(1,_xlfn.NORM.INV(RAND(),mu_r_24,sig_r_24)))</f>
        <v/>
      </c>
      <c r="D31">
        <f>MAX(0,MIN(1,_xlfn.NORM.INV(RAND(),mu_r_24,sig_r_24)))</f>
        <v/>
      </c>
      <c r="E31">
        <f>MAX(0,MIN(1,_xlfn.NORM.INV(RAND(),mu_r_24,sig_r_24)))</f>
        <v/>
      </c>
      <c r="F31">
        <f>MAX(0,MIN(1,_xlfn.NORM.INV(RAND(),mu_r_5p,sig_r_5p)))</f>
        <v/>
      </c>
      <c r="G31">
        <f>MAX(0,MIN(1,_xlfn.NORM.INV(RAND(),mu_r_5p,sig_r_5p)))</f>
        <v/>
      </c>
      <c r="H31">
        <f>MAX(0,MIN(1,_xlfn.NORM.INV(RAND(),mu_r_5p,sig_r_5p)))</f>
        <v/>
      </c>
      <c r="I31">
        <f>MAX(0,MIN(1,_xlfn.NORM.INV(RAND(),mu_r_5p,sig_r_5p)))</f>
        <v/>
      </c>
      <c r="J31">
        <f>MAX(0,MIN(1,_xlfn.NORM.INV(RAND(),mu_r_5p,sig_r_5p)))</f>
        <v/>
      </c>
      <c r="K31">
        <f>MAX(0,MIN(1,_xlfn.NORM.INV(RAND(),mu_r_5p,sig_r_5p)))</f>
        <v/>
      </c>
    </row>
    <row r="32">
      <c r="A32" t="n">
        <v>30</v>
      </c>
      <c r="B32">
        <f>0</f>
        <v/>
      </c>
      <c r="C32">
        <f>MAX(0,MIN(1,_xlfn.NORM.INV(RAND(),mu_r_24,sig_r_24)))</f>
        <v/>
      </c>
      <c r="D32">
        <f>MAX(0,MIN(1,_xlfn.NORM.INV(RAND(),mu_r_24,sig_r_24)))</f>
        <v/>
      </c>
      <c r="E32">
        <f>MAX(0,MIN(1,_xlfn.NORM.INV(RAND(),mu_r_24,sig_r_24)))</f>
        <v/>
      </c>
      <c r="F32">
        <f>MAX(0,MIN(1,_xlfn.NORM.INV(RAND(),mu_r_5p,sig_r_5p)))</f>
        <v/>
      </c>
      <c r="G32">
        <f>MAX(0,MIN(1,_xlfn.NORM.INV(RAND(),mu_r_5p,sig_r_5p)))</f>
        <v/>
      </c>
      <c r="H32">
        <f>MAX(0,MIN(1,_xlfn.NORM.INV(RAND(),mu_r_5p,sig_r_5p)))</f>
        <v/>
      </c>
      <c r="I32">
        <f>MAX(0,MIN(1,_xlfn.NORM.INV(RAND(),mu_r_5p,sig_r_5p)))</f>
        <v/>
      </c>
      <c r="J32">
        <f>MAX(0,MIN(1,_xlfn.NORM.INV(RAND(),mu_r_5p,sig_r_5p)))</f>
        <v/>
      </c>
      <c r="K32">
        <f>MAX(0,MIN(1,_xlfn.NORM.INV(RAND(),mu_r_5p,sig_r_5p)))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t \ a</t>
        </is>
      </c>
      <c r="B1" s="1" t="inlineStr">
        <is>
          <t>a=1</t>
        </is>
      </c>
      <c r="C1" s="1" t="inlineStr">
        <is>
          <t>a=2</t>
        </is>
      </c>
      <c r="D1" s="1" t="inlineStr">
        <is>
          <t>a=3</t>
        </is>
      </c>
      <c r="E1" s="1" t="inlineStr">
        <is>
          <t>a=4</t>
        </is>
      </c>
      <c r="F1" s="1" t="inlineStr">
        <is>
          <t>a=5</t>
        </is>
      </c>
      <c r="G1" s="1" t="inlineStr">
        <is>
          <t>a=6</t>
        </is>
      </c>
      <c r="H1" s="1" t="inlineStr">
        <is>
          <t>a=7</t>
        </is>
      </c>
      <c r="I1" s="1" t="inlineStr">
        <is>
          <t>a=8</t>
        </is>
      </c>
      <c r="J1" s="1" t="inlineStr">
        <is>
          <t>a=9</t>
        </is>
      </c>
      <c r="K1" s="1" t="inlineStr">
        <is>
          <t>a=10</t>
        </is>
      </c>
    </row>
    <row r="2">
      <c r="A2" t="n">
        <v>0</v>
      </c>
      <c r="B2">
        <f>MAX(0,MIN(1,_xlfn.NORM.INV(RAND(),mu_m_13,sig_m_13)))</f>
        <v/>
      </c>
      <c r="C2">
        <f>MAX(0,MIN(1,_xlfn.NORM.INV(RAND(),mu_m_13,sig_m_13)))</f>
        <v/>
      </c>
      <c r="D2">
        <f>MAX(0,MIN(1,_xlfn.NORM.INV(RAND(),mu_m_13,sig_m_13)))</f>
        <v/>
      </c>
      <c r="E2">
        <f>MAX(0,MIN(1,_xlfn.NORM.INV(RAND(),mu_m_45,sig_m_45)))</f>
        <v/>
      </c>
      <c r="F2">
        <f>MAX(0,MIN(1,_xlfn.NORM.INV(RAND(),mu_m_45,sig_m_45)))</f>
        <v/>
      </c>
      <c r="G2">
        <f>MAX(0,MIN(1,_xlfn.NORM.INV(RAND(),mu_m_6p,sig_m_6p)))</f>
        <v/>
      </c>
      <c r="H2">
        <f>MAX(0,MIN(1,_xlfn.NORM.INV(RAND(),mu_m_6p,sig_m_6p)))</f>
        <v/>
      </c>
      <c r="I2">
        <f>MAX(0,MIN(1,_xlfn.NORM.INV(RAND(),mu_m_6p,sig_m_6p)))</f>
        <v/>
      </c>
      <c r="J2">
        <f>MAX(0,MIN(1,_xlfn.NORM.INV(RAND(),mu_m_6p,sig_m_6p)))</f>
        <v/>
      </c>
      <c r="K2">
        <f>MAX(0,MIN(1,_xlfn.NORM.INV(RAND(),mu_m_6p,sig_m_6p)))</f>
        <v/>
      </c>
    </row>
    <row r="3">
      <c r="A3" t="n">
        <v>1</v>
      </c>
      <c r="B3">
        <f>MAX(0,MIN(1,_xlfn.NORM.INV(RAND(),mu_m_13,sig_m_13)))</f>
        <v/>
      </c>
      <c r="C3">
        <f>MAX(0,MIN(1,_xlfn.NORM.INV(RAND(),mu_m_13,sig_m_13)))</f>
        <v/>
      </c>
      <c r="D3">
        <f>MAX(0,MIN(1,_xlfn.NORM.INV(RAND(),mu_m_13,sig_m_13)))</f>
        <v/>
      </c>
      <c r="E3">
        <f>MAX(0,MIN(1,_xlfn.NORM.INV(RAND(),mu_m_45,sig_m_45)))</f>
        <v/>
      </c>
      <c r="F3">
        <f>MAX(0,MIN(1,_xlfn.NORM.INV(RAND(),mu_m_45,sig_m_45)))</f>
        <v/>
      </c>
      <c r="G3">
        <f>MAX(0,MIN(1,_xlfn.NORM.INV(RAND(),mu_m_6p,sig_m_6p)))</f>
        <v/>
      </c>
      <c r="H3">
        <f>MAX(0,MIN(1,_xlfn.NORM.INV(RAND(),mu_m_6p,sig_m_6p)))</f>
        <v/>
      </c>
      <c r="I3">
        <f>MAX(0,MIN(1,_xlfn.NORM.INV(RAND(),mu_m_6p,sig_m_6p)))</f>
        <v/>
      </c>
      <c r="J3">
        <f>MAX(0,MIN(1,_xlfn.NORM.INV(RAND(),mu_m_6p,sig_m_6p)))</f>
        <v/>
      </c>
      <c r="K3">
        <f>MAX(0,MIN(1,_xlfn.NORM.INV(RAND(),mu_m_6p,sig_m_6p)))</f>
        <v/>
      </c>
    </row>
    <row r="4">
      <c r="A4" t="n">
        <v>2</v>
      </c>
      <c r="B4">
        <f>MAX(0,MIN(1,_xlfn.NORM.INV(RAND(),mu_m_13,sig_m_13)))</f>
        <v/>
      </c>
      <c r="C4">
        <f>MAX(0,MIN(1,_xlfn.NORM.INV(RAND(),mu_m_13,sig_m_13)))</f>
        <v/>
      </c>
      <c r="D4">
        <f>MAX(0,MIN(1,_xlfn.NORM.INV(RAND(),mu_m_13,sig_m_13)))</f>
        <v/>
      </c>
      <c r="E4">
        <f>MAX(0,MIN(1,_xlfn.NORM.INV(RAND(),mu_m_45,sig_m_45)))</f>
        <v/>
      </c>
      <c r="F4">
        <f>MAX(0,MIN(1,_xlfn.NORM.INV(RAND(),mu_m_45,sig_m_45)))</f>
        <v/>
      </c>
      <c r="G4">
        <f>MAX(0,MIN(1,_xlfn.NORM.INV(RAND(),mu_m_6p,sig_m_6p)))</f>
        <v/>
      </c>
      <c r="H4">
        <f>MAX(0,MIN(1,_xlfn.NORM.INV(RAND(),mu_m_6p,sig_m_6p)))</f>
        <v/>
      </c>
      <c r="I4">
        <f>MAX(0,MIN(1,_xlfn.NORM.INV(RAND(),mu_m_6p,sig_m_6p)))</f>
        <v/>
      </c>
      <c r="J4">
        <f>MAX(0,MIN(1,_xlfn.NORM.INV(RAND(),mu_m_6p,sig_m_6p)))</f>
        <v/>
      </c>
      <c r="K4">
        <f>MAX(0,MIN(1,_xlfn.NORM.INV(RAND(),mu_m_6p,sig_m_6p)))</f>
        <v/>
      </c>
    </row>
    <row r="5">
      <c r="A5" t="n">
        <v>3</v>
      </c>
      <c r="B5">
        <f>MAX(0,MIN(1,_xlfn.NORM.INV(RAND(),mu_m_13,sig_m_13)))</f>
        <v/>
      </c>
      <c r="C5">
        <f>MAX(0,MIN(1,_xlfn.NORM.INV(RAND(),mu_m_13,sig_m_13)))</f>
        <v/>
      </c>
      <c r="D5">
        <f>MAX(0,MIN(1,_xlfn.NORM.INV(RAND(),mu_m_13,sig_m_13)))</f>
        <v/>
      </c>
      <c r="E5">
        <f>MAX(0,MIN(1,_xlfn.NORM.INV(RAND(),mu_m_45,sig_m_45)))</f>
        <v/>
      </c>
      <c r="F5">
        <f>MAX(0,MIN(1,_xlfn.NORM.INV(RAND(),mu_m_45,sig_m_45)))</f>
        <v/>
      </c>
      <c r="G5">
        <f>MAX(0,MIN(1,_xlfn.NORM.INV(RAND(),mu_m_6p,sig_m_6p)))</f>
        <v/>
      </c>
      <c r="H5">
        <f>MAX(0,MIN(1,_xlfn.NORM.INV(RAND(),mu_m_6p,sig_m_6p)))</f>
        <v/>
      </c>
      <c r="I5">
        <f>MAX(0,MIN(1,_xlfn.NORM.INV(RAND(),mu_m_6p,sig_m_6p)))</f>
        <v/>
      </c>
      <c r="J5">
        <f>MAX(0,MIN(1,_xlfn.NORM.INV(RAND(),mu_m_6p,sig_m_6p)))</f>
        <v/>
      </c>
      <c r="K5">
        <f>MAX(0,MIN(1,_xlfn.NORM.INV(RAND(),mu_m_6p,sig_m_6p)))</f>
        <v/>
      </c>
    </row>
    <row r="6">
      <c r="A6" t="n">
        <v>4</v>
      </c>
      <c r="B6">
        <f>MAX(0,MIN(1,_xlfn.NORM.INV(RAND(),mu_m_13,sig_m_13)))</f>
        <v/>
      </c>
      <c r="C6">
        <f>MAX(0,MIN(1,_xlfn.NORM.INV(RAND(),mu_m_13,sig_m_13)))</f>
        <v/>
      </c>
      <c r="D6">
        <f>MAX(0,MIN(1,_xlfn.NORM.INV(RAND(),mu_m_13,sig_m_13)))</f>
        <v/>
      </c>
      <c r="E6">
        <f>MAX(0,MIN(1,_xlfn.NORM.INV(RAND(),mu_m_45,sig_m_45)))</f>
        <v/>
      </c>
      <c r="F6">
        <f>MAX(0,MIN(1,_xlfn.NORM.INV(RAND(),mu_m_45,sig_m_45)))</f>
        <v/>
      </c>
      <c r="G6">
        <f>MAX(0,MIN(1,_xlfn.NORM.INV(RAND(),mu_m_6p,sig_m_6p)))</f>
        <v/>
      </c>
      <c r="H6">
        <f>MAX(0,MIN(1,_xlfn.NORM.INV(RAND(),mu_m_6p,sig_m_6p)))</f>
        <v/>
      </c>
      <c r="I6">
        <f>MAX(0,MIN(1,_xlfn.NORM.INV(RAND(),mu_m_6p,sig_m_6p)))</f>
        <v/>
      </c>
      <c r="J6">
        <f>MAX(0,MIN(1,_xlfn.NORM.INV(RAND(),mu_m_6p,sig_m_6p)))</f>
        <v/>
      </c>
      <c r="K6">
        <f>MAX(0,MIN(1,_xlfn.NORM.INV(RAND(),mu_m_6p,sig_m_6p)))</f>
        <v/>
      </c>
    </row>
    <row r="7">
      <c r="A7" t="n">
        <v>5</v>
      </c>
      <c r="B7">
        <f>MAX(0,MIN(1,_xlfn.NORM.INV(RAND(),mu_m_13,sig_m_13)))</f>
        <v/>
      </c>
      <c r="C7">
        <f>MAX(0,MIN(1,_xlfn.NORM.INV(RAND(),mu_m_13,sig_m_13)))</f>
        <v/>
      </c>
      <c r="D7">
        <f>MAX(0,MIN(1,_xlfn.NORM.INV(RAND(),mu_m_13,sig_m_13)))</f>
        <v/>
      </c>
      <c r="E7">
        <f>MAX(0,MIN(1,_xlfn.NORM.INV(RAND(),mu_m_45,sig_m_45)))</f>
        <v/>
      </c>
      <c r="F7">
        <f>MAX(0,MIN(1,_xlfn.NORM.INV(RAND(),mu_m_45,sig_m_45)))</f>
        <v/>
      </c>
      <c r="G7">
        <f>MAX(0,MIN(1,_xlfn.NORM.INV(RAND(),mu_m_6p,sig_m_6p)))</f>
        <v/>
      </c>
      <c r="H7">
        <f>MAX(0,MIN(1,_xlfn.NORM.INV(RAND(),mu_m_6p,sig_m_6p)))</f>
        <v/>
      </c>
      <c r="I7">
        <f>MAX(0,MIN(1,_xlfn.NORM.INV(RAND(),mu_m_6p,sig_m_6p)))</f>
        <v/>
      </c>
      <c r="J7">
        <f>MAX(0,MIN(1,_xlfn.NORM.INV(RAND(),mu_m_6p,sig_m_6p)))</f>
        <v/>
      </c>
      <c r="K7">
        <f>MAX(0,MIN(1,_xlfn.NORM.INV(RAND(),mu_m_6p,sig_m_6p)))</f>
        <v/>
      </c>
    </row>
    <row r="8">
      <c r="A8" t="n">
        <v>6</v>
      </c>
      <c r="B8">
        <f>MAX(0,MIN(1,_xlfn.NORM.INV(RAND(),mu_m_13,sig_m_13)))</f>
        <v/>
      </c>
      <c r="C8">
        <f>MAX(0,MIN(1,_xlfn.NORM.INV(RAND(),mu_m_13,sig_m_13)))</f>
        <v/>
      </c>
      <c r="D8">
        <f>MAX(0,MIN(1,_xlfn.NORM.INV(RAND(),mu_m_13,sig_m_13)))</f>
        <v/>
      </c>
      <c r="E8">
        <f>MAX(0,MIN(1,_xlfn.NORM.INV(RAND(),mu_m_45,sig_m_45)))</f>
        <v/>
      </c>
      <c r="F8">
        <f>MAX(0,MIN(1,_xlfn.NORM.INV(RAND(),mu_m_45,sig_m_45)))</f>
        <v/>
      </c>
      <c r="G8">
        <f>MAX(0,MIN(1,_xlfn.NORM.INV(RAND(),mu_m_6p,sig_m_6p)))</f>
        <v/>
      </c>
      <c r="H8">
        <f>MAX(0,MIN(1,_xlfn.NORM.INV(RAND(),mu_m_6p,sig_m_6p)))</f>
        <v/>
      </c>
      <c r="I8">
        <f>MAX(0,MIN(1,_xlfn.NORM.INV(RAND(),mu_m_6p,sig_m_6p)))</f>
        <v/>
      </c>
      <c r="J8">
        <f>MAX(0,MIN(1,_xlfn.NORM.INV(RAND(),mu_m_6p,sig_m_6p)))</f>
        <v/>
      </c>
      <c r="K8">
        <f>MAX(0,MIN(1,_xlfn.NORM.INV(RAND(),mu_m_6p,sig_m_6p)))</f>
        <v/>
      </c>
    </row>
    <row r="9">
      <c r="A9" t="n">
        <v>7</v>
      </c>
      <c r="B9">
        <f>MAX(0,MIN(1,_xlfn.NORM.INV(RAND(),mu_m_13,sig_m_13)))</f>
        <v/>
      </c>
      <c r="C9">
        <f>MAX(0,MIN(1,_xlfn.NORM.INV(RAND(),mu_m_13,sig_m_13)))</f>
        <v/>
      </c>
      <c r="D9">
        <f>MAX(0,MIN(1,_xlfn.NORM.INV(RAND(),mu_m_13,sig_m_13)))</f>
        <v/>
      </c>
      <c r="E9">
        <f>MAX(0,MIN(1,_xlfn.NORM.INV(RAND(),mu_m_45,sig_m_45)))</f>
        <v/>
      </c>
      <c r="F9">
        <f>MAX(0,MIN(1,_xlfn.NORM.INV(RAND(),mu_m_45,sig_m_45)))</f>
        <v/>
      </c>
      <c r="G9">
        <f>MAX(0,MIN(1,_xlfn.NORM.INV(RAND(),mu_m_6p,sig_m_6p)))</f>
        <v/>
      </c>
      <c r="H9">
        <f>MAX(0,MIN(1,_xlfn.NORM.INV(RAND(),mu_m_6p,sig_m_6p)))</f>
        <v/>
      </c>
      <c r="I9">
        <f>MAX(0,MIN(1,_xlfn.NORM.INV(RAND(),mu_m_6p,sig_m_6p)))</f>
        <v/>
      </c>
      <c r="J9">
        <f>MAX(0,MIN(1,_xlfn.NORM.INV(RAND(),mu_m_6p,sig_m_6p)))</f>
        <v/>
      </c>
      <c r="K9">
        <f>MAX(0,MIN(1,_xlfn.NORM.INV(RAND(),mu_m_6p,sig_m_6p)))</f>
        <v/>
      </c>
    </row>
    <row r="10">
      <c r="A10" t="n">
        <v>8</v>
      </c>
      <c r="B10">
        <f>MAX(0,MIN(1,_xlfn.NORM.INV(RAND(),mu_m_13,sig_m_13)))</f>
        <v/>
      </c>
      <c r="C10">
        <f>MAX(0,MIN(1,_xlfn.NORM.INV(RAND(),mu_m_13,sig_m_13)))</f>
        <v/>
      </c>
      <c r="D10">
        <f>MAX(0,MIN(1,_xlfn.NORM.INV(RAND(),mu_m_13,sig_m_13)))</f>
        <v/>
      </c>
      <c r="E10">
        <f>MAX(0,MIN(1,_xlfn.NORM.INV(RAND(),mu_m_45,sig_m_45)))</f>
        <v/>
      </c>
      <c r="F10">
        <f>MAX(0,MIN(1,_xlfn.NORM.INV(RAND(),mu_m_45,sig_m_45)))</f>
        <v/>
      </c>
      <c r="G10">
        <f>MAX(0,MIN(1,_xlfn.NORM.INV(RAND(),mu_m_6p,sig_m_6p)))</f>
        <v/>
      </c>
      <c r="H10">
        <f>MAX(0,MIN(1,_xlfn.NORM.INV(RAND(),mu_m_6p,sig_m_6p)))</f>
        <v/>
      </c>
      <c r="I10">
        <f>MAX(0,MIN(1,_xlfn.NORM.INV(RAND(),mu_m_6p,sig_m_6p)))</f>
        <v/>
      </c>
      <c r="J10">
        <f>MAX(0,MIN(1,_xlfn.NORM.INV(RAND(),mu_m_6p,sig_m_6p)))</f>
        <v/>
      </c>
      <c r="K10">
        <f>MAX(0,MIN(1,_xlfn.NORM.INV(RAND(),mu_m_6p,sig_m_6p)))</f>
        <v/>
      </c>
    </row>
    <row r="11">
      <c r="A11" t="n">
        <v>9</v>
      </c>
      <c r="B11">
        <f>MAX(0,MIN(1,_xlfn.NORM.INV(RAND(),mu_m_13,sig_m_13)))</f>
        <v/>
      </c>
      <c r="C11">
        <f>MAX(0,MIN(1,_xlfn.NORM.INV(RAND(),mu_m_13,sig_m_13)))</f>
        <v/>
      </c>
      <c r="D11">
        <f>MAX(0,MIN(1,_xlfn.NORM.INV(RAND(),mu_m_13,sig_m_13)))</f>
        <v/>
      </c>
      <c r="E11">
        <f>MAX(0,MIN(1,_xlfn.NORM.INV(RAND(),mu_m_45,sig_m_45)))</f>
        <v/>
      </c>
      <c r="F11">
        <f>MAX(0,MIN(1,_xlfn.NORM.INV(RAND(),mu_m_45,sig_m_45)))</f>
        <v/>
      </c>
      <c r="G11">
        <f>MAX(0,MIN(1,_xlfn.NORM.INV(RAND(),mu_m_6p,sig_m_6p)))</f>
        <v/>
      </c>
      <c r="H11">
        <f>MAX(0,MIN(1,_xlfn.NORM.INV(RAND(),mu_m_6p,sig_m_6p)))</f>
        <v/>
      </c>
      <c r="I11">
        <f>MAX(0,MIN(1,_xlfn.NORM.INV(RAND(),mu_m_6p,sig_m_6p)))</f>
        <v/>
      </c>
      <c r="J11">
        <f>MAX(0,MIN(1,_xlfn.NORM.INV(RAND(),mu_m_6p,sig_m_6p)))</f>
        <v/>
      </c>
      <c r="K11">
        <f>MAX(0,MIN(1,_xlfn.NORM.INV(RAND(),mu_m_6p,sig_m_6p)))</f>
        <v/>
      </c>
    </row>
    <row r="12">
      <c r="A12" t="n">
        <v>10</v>
      </c>
      <c r="B12">
        <f>MAX(0,MIN(1,_xlfn.NORM.INV(RAND(),mu_m_13,sig_m_13)))</f>
        <v/>
      </c>
      <c r="C12">
        <f>MAX(0,MIN(1,_xlfn.NORM.INV(RAND(),mu_m_13,sig_m_13)))</f>
        <v/>
      </c>
      <c r="D12">
        <f>MAX(0,MIN(1,_xlfn.NORM.INV(RAND(),mu_m_13,sig_m_13)))</f>
        <v/>
      </c>
      <c r="E12">
        <f>MAX(0,MIN(1,_xlfn.NORM.INV(RAND(),mu_m_45,sig_m_45)))</f>
        <v/>
      </c>
      <c r="F12">
        <f>MAX(0,MIN(1,_xlfn.NORM.INV(RAND(),mu_m_45,sig_m_45)))</f>
        <v/>
      </c>
      <c r="G12">
        <f>MAX(0,MIN(1,_xlfn.NORM.INV(RAND(),mu_m_6p,sig_m_6p)))</f>
        <v/>
      </c>
      <c r="H12">
        <f>MAX(0,MIN(1,_xlfn.NORM.INV(RAND(),mu_m_6p,sig_m_6p)))</f>
        <v/>
      </c>
      <c r="I12">
        <f>MAX(0,MIN(1,_xlfn.NORM.INV(RAND(),mu_m_6p,sig_m_6p)))</f>
        <v/>
      </c>
      <c r="J12">
        <f>MAX(0,MIN(1,_xlfn.NORM.INV(RAND(),mu_m_6p,sig_m_6p)))</f>
        <v/>
      </c>
      <c r="K12">
        <f>MAX(0,MIN(1,_xlfn.NORM.INV(RAND(),mu_m_6p,sig_m_6p)))</f>
        <v/>
      </c>
    </row>
    <row r="13">
      <c r="A13" t="n">
        <v>11</v>
      </c>
      <c r="B13">
        <f>MAX(0,MIN(1,_xlfn.NORM.INV(RAND(),mu_m_13,sig_m_13)))</f>
        <v/>
      </c>
      <c r="C13">
        <f>MAX(0,MIN(1,_xlfn.NORM.INV(RAND(),mu_m_13,sig_m_13)))</f>
        <v/>
      </c>
      <c r="D13">
        <f>MAX(0,MIN(1,_xlfn.NORM.INV(RAND(),mu_m_13,sig_m_13)))</f>
        <v/>
      </c>
      <c r="E13">
        <f>MAX(0,MIN(1,_xlfn.NORM.INV(RAND(),mu_m_45,sig_m_45)))</f>
        <v/>
      </c>
      <c r="F13">
        <f>MAX(0,MIN(1,_xlfn.NORM.INV(RAND(),mu_m_45,sig_m_45)))</f>
        <v/>
      </c>
      <c r="G13">
        <f>MAX(0,MIN(1,_xlfn.NORM.INV(RAND(),mu_m_6p,sig_m_6p)))</f>
        <v/>
      </c>
      <c r="H13">
        <f>MAX(0,MIN(1,_xlfn.NORM.INV(RAND(),mu_m_6p,sig_m_6p)))</f>
        <v/>
      </c>
      <c r="I13">
        <f>MAX(0,MIN(1,_xlfn.NORM.INV(RAND(),mu_m_6p,sig_m_6p)))</f>
        <v/>
      </c>
      <c r="J13">
        <f>MAX(0,MIN(1,_xlfn.NORM.INV(RAND(),mu_m_6p,sig_m_6p)))</f>
        <v/>
      </c>
      <c r="K13">
        <f>MAX(0,MIN(1,_xlfn.NORM.INV(RAND(),mu_m_6p,sig_m_6p)))</f>
        <v/>
      </c>
    </row>
    <row r="14">
      <c r="A14" t="n">
        <v>12</v>
      </c>
      <c r="B14">
        <f>MAX(0,MIN(1,_xlfn.NORM.INV(RAND(),mu_m_13,sig_m_13)))</f>
        <v/>
      </c>
      <c r="C14">
        <f>MAX(0,MIN(1,_xlfn.NORM.INV(RAND(),mu_m_13,sig_m_13)))</f>
        <v/>
      </c>
      <c r="D14">
        <f>MAX(0,MIN(1,_xlfn.NORM.INV(RAND(),mu_m_13,sig_m_13)))</f>
        <v/>
      </c>
      <c r="E14">
        <f>MAX(0,MIN(1,_xlfn.NORM.INV(RAND(),mu_m_45,sig_m_45)))</f>
        <v/>
      </c>
      <c r="F14">
        <f>MAX(0,MIN(1,_xlfn.NORM.INV(RAND(),mu_m_45,sig_m_45)))</f>
        <v/>
      </c>
      <c r="G14">
        <f>MAX(0,MIN(1,_xlfn.NORM.INV(RAND(),mu_m_6p,sig_m_6p)))</f>
        <v/>
      </c>
      <c r="H14">
        <f>MAX(0,MIN(1,_xlfn.NORM.INV(RAND(),mu_m_6p,sig_m_6p)))</f>
        <v/>
      </c>
      <c r="I14">
        <f>MAX(0,MIN(1,_xlfn.NORM.INV(RAND(),mu_m_6p,sig_m_6p)))</f>
        <v/>
      </c>
      <c r="J14">
        <f>MAX(0,MIN(1,_xlfn.NORM.INV(RAND(),mu_m_6p,sig_m_6p)))</f>
        <v/>
      </c>
      <c r="K14">
        <f>MAX(0,MIN(1,_xlfn.NORM.INV(RAND(),mu_m_6p,sig_m_6p)))</f>
        <v/>
      </c>
    </row>
    <row r="15">
      <c r="A15" t="n">
        <v>13</v>
      </c>
      <c r="B15">
        <f>MAX(0,MIN(1,_xlfn.NORM.INV(RAND(),mu_m_13,sig_m_13)))</f>
        <v/>
      </c>
      <c r="C15">
        <f>MAX(0,MIN(1,_xlfn.NORM.INV(RAND(),mu_m_13,sig_m_13)))</f>
        <v/>
      </c>
      <c r="D15">
        <f>MAX(0,MIN(1,_xlfn.NORM.INV(RAND(),mu_m_13,sig_m_13)))</f>
        <v/>
      </c>
      <c r="E15">
        <f>MAX(0,MIN(1,_xlfn.NORM.INV(RAND(),mu_m_45,sig_m_45)))</f>
        <v/>
      </c>
      <c r="F15">
        <f>MAX(0,MIN(1,_xlfn.NORM.INV(RAND(),mu_m_45,sig_m_45)))</f>
        <v/>
      </c>
      <c r="G15">
        <f>MAX(0,MIN(1,_xlfn.NORM.INV(RAND(),mu_m_6p,sig_m_6p)))</f>
        <v/>
      </c>
      <c r="H15">
        <f>MAX(0,MIN(1,_xlfn.NORM.INV(RAND(),mu_m_6p,sig_m_6p)))</f>
        <v/>
      </c>
      <c r="I15">
        <f>MAX(0,MIN(1,_xlfn.NORM.INV(RAND(),mu_m_6p,sig_m_6p)))</f>
        <v/>
      </c>
      <c r="J15">
        <f>MAX(0,MIN(1,_xlfn.NORM.INV(RAND(),mu_m_6p,sig_m_6p)))</f>
        <v/>
      </c>
      <c r="K15">
        <f>MAX(0,MIN(1,_xlfn.NORM.INV(RAND(),mu_m_6p,sig_m_6p)))</f>
        <v/>
      </c>
    </row>
    <row r="16">
      <c r="A16" t="n">
        <v>14</v>
      </c>
      <c r="B16">
        <f>MAX(0,MIN(1,_xlfn.NORM.INV(RAND(),mu_m_13,sig_m_13)))</f>
        <v/>
      </c>
      <c r="C16">
        <f>MAX(0,MIN(1,_xlfn.NORM.INV(RAND(),mu_m_13,sig_m_13)))</f>
        <v/>
      </c>
      <c r="D16">
        <f>MAX(0,MIN(1,_xlfn.NORM.INV(RAND(),mu_m_13,sig_m_13)))</f>
        <v/>
      </c>
      <c r="E16">
        <f>MAX(0,MIN(1,_xlfn.NORM.INV(RAND(),mu_m_45,sig_m_45)))</f>
        <v/>
      </c>
      <c r="F16">
        <f>MAX(0,MIN(1,_xlfn.NORM.INV(RAND(),mu_m_45,sig_m_45)))</f>
        <v/>
      </c>
      <c r="G16">
        <f>MAX(0,MIN(1,_xlfn.NORM.INV(RAND(),mu_m_6p,sig_m_6p)))</f>
        <v/>
      </c>
      <c r="H16">
        <f>MAX(0,MIN(1,_xlfn.NORM.INV(RAND(),mu_m_6p,sig_m_6p)))</f>
        <v/>
      </c>
      <c r="I16">
        <f>MAX(0,MIN(1,_xlfn.NORM.INV(RAND(),mu_m_6p,sig_m_6p)))</f>
        <v/>
      </c>
      <c r="J16">
        <f>MAX(0,MIN(1,_xlfn.NORM.INV(RAND(),mu_m_6p,sig_m_6p)))</f>
        <v/>
      </c>
      <c r="K16">
        <f>MAX(0,MIN(1,_xlfn.NORM.INV(RAND(),mu_m_6p,sig_m_6p)))</f>
        <v/>
      </c>
    </row>
    <row r="17">
      <c r="A17" t="n">
        <v>15</v>
      </c>
      <c r="B17">
        <f>MAX(0,MIN(1,_xlfn.NORM.INV(RAND(),mu_m_13,sig_m_13)))</f>
        <v/>
      </c>
      <c r="C17">
        <f>MAX(0,MIN(1,_xlfn.NORM.INV(RAND(),mu_m_13,sig_m_13)))</f>
        <v/>
      </c>
      <c r="D17">
        <f>MAX(0,MIN(1,_xlfn.NORM.INV(RAND(),mu_m_13,sig_m_13)))</f>
        <v/>
      </c>
      <c r="E17">
        <f>MAX(0,MIN(1,_xlfn.NORM.INV(RAND(),mu_m_45,sig_m_45)))</f>
        <v/>
      </c>
      <c r="F17">
        <f>MAX(0,MIN(1,_xlfn.NORM.INV(RAND(),mu_m_45,sig_m_45)))</f>
        <v/>
      </c>
      <c r="G17">
        <f>MAX(0,MIN(1,_xlfn.NORM.INV(RAND(),mu_m_6p,sig_m_6p)))</f>
        <v/>
      </c>
      <c r="H17">
        <f>MAX(0,MIN(1,_xlfn.NORM.INV(RAND(),mu_m_6p,sig_m_6p)))</f>
        <v/>
      </c>
      <c r="I17">
        <f>MAX(0,MIN(1,_xlfn.NORM.INV(RAND(),mu_m_6p,sig_m_6p)))</f>
        <v/>
      </c>
      <c r="J17">
        <f>MAX(0,MIN(1,_xlfn.NORM.INV(RAND(),mu_m_6p,sig_m_6p)))</f>
        <v/>
      </c>
      <c r="K17">
        <f>MAX(0,MIN(1,_xlfn.NORM.INV(RAND(),mu_m_6p,sig_m_6p)))</f>
        <v/>
      </c>
    </row>
    <row r="18">
      <c r="A18" t="n">
        <v>16</v>
      </c>
      <c r="B18">
        <f>MAX(0,MIN(1,_xlfn.NORM.INV(RAND(),mu_m_13,sig_m_13)))</f>
        <v/>
      </c>
      <c r="C18">
        <f>MAX(0,MIN(1,_xlfn.NORM.INV(RAND(),mu_m_13,sig_m_13)))</f>
        <v/>
      </c>
      <c r="D18">
        <f>MAX(0,MIN(1,_xlfn.NORM.INV(RAND(),mu_m_13,sig_m_13)))</f>
        <v/>
      </c>
      <c r="E18">
        <f>MAX(0,MIN(1,_xlfn.NORM.INV(RAND(),mu_m_45,sig_m_45)))</f>
        <v/>
      </c>
      <c r="F18">
        <f>MAX(0,MIN(1,_xlfn.NORM.INV(RAND(),mu_m_45,sig_m_45)))</f>
        <v/>
      </c>
      <c r="G18">
        <f>MAX(0,MIN(1,_xlfn.NORM.INV(RAND(),mu_m_6p,sig_m_6p)))</f>
        <v/>
      </c>
      <c r="H18">
        <f>MAX(0,MIN(1,_xlfn.NORM.INV(RAND(),mu_m_6p,sig_m_6p)))</f>
        <v/>
      </c>
      <c r="I18">
        <f>MAX(0,MIN(1,_xlfn.NORM.INV(RAND(),mu_m_6p,sig_m_6p)))</f>
        <v/>
      </c>
      <c r="J18">
        <f>MAX(0,MIN(1,_xlfn.NORM.INV(RAND(),mu_m_6p,sig_m_6p)))</f>
        <v/>
      </c>
      <c r="K18">
        <f>MAX(0,MIN(1,_xlfn.NORM.INV(RAND(),mu_m_6p,sig_m_6p)))</f>
        <v/>
      </c>
    </row>
    <row r="19">
      <c r="A19" t="n">
        <v>17</v>
      </c>
      <c r="B19">
        <f>MAX(0,MIN(1,_xlfn.NORM.INV(RAND(),mu_m_13,sig_m_13)))</f>
        <v/>
      </c>
      <c r="C19">
        <f>MAX(0,MIN(1,_xlfn.NORM.INV(RAND(),mu_m_13,sig_m_13)))</f>
        <v/>
      </c>
      <c r="D19">
        <f>MAX(0,MIN(1,_xlfn.NORM.INV(RAND(),mu_m_13,sig_m_13)))</f>
        <v/>
      </c>
      <c r="E19">
        <f>MAX(0,MIN(1,_xlfn.NORM.INV(RAND(),mu_m_45,sig_m_45)))</f>
        <v/>
      </c>
      <c r="F19">
        <f>MAX(0,MIN(1,_xlfn.NORM.INV(RAND(),mu_m_45,sig_m_45)))</f>
        <v/>
      </c>
      <c r="G19">
        <f>MAX(0,MIN(1,_xlfn.NORM.INV(RAND(),mu_m_6p,sig_m_6p)))</f>
        <v/>
      </c>
      <c r="H19">
        <f>MAX(0,MIN(1,_xlfn.NORM.INV(RAND(),mu_m_6p,sig_m_6p)))</f>
        <v/>
      </c>
      <c r="I19">
        <f>MAX(0,MIN(1,_xlfn.NORM.INV(RAND(),mu_m_6p,sig_m_6p)))</f>
        <v/>
      </c>
      <c r="J19">
        <f>MAX(0,MIN(1,_xlfn.NORM.INV(RAND(),mu_m_6p,sig_m_6p)))</f>
        <v/>
      </c>
      <c r="K19">
        <f>MAX(0,MIN(1,_xlfn.NORM.INV(RAND(),mu_m_6p,sig_m_6p)))</f>
        <v/>
      </c>
    </row>
    <row r="20">
      <c r="A20" t="n">
        <v>18</v>
      </c>
      <c r="B20">
        <f>MAX(0,MIN(1,_xlfn.NORM.INV(RAND(),mu_m_13,sig_m_13)))</f>
        <v/>
      </c>
      <c r="C20">
        <f>MAX(0,MIN(1,_xlfn.NORM.INV(RAND(),mu_m_13,sig_m_13)))</f>
        <v/>
      </c>
      <c r="D20">
        <f>MAX(0,MIN(1,_xlfn.NORM.INV(RAND(),mu_m_13,sig_m_13)))</f>
        <v/>
      </c>
      <c r="E20">
        <f>MAX(0,MIN(1,_xlfn.NORM.INV(RAND(),mu_m_45,sig_m_45)))</f>
        <v/>
      </c>
      <c r="F20">
        <f>MAX(0,MIN(1,_xlfn.NORM.INV(RAND(),mu_m_45,sig_m_45)))</f>
        <v/>
      </c>
      <c r="G20">
        <f>MAX(0,MIN(1,_xlfn.NORM.INV(RAND(),mu_m_6p,sig_m_6p)))</f>
        <v/>
      </c>
      <c r="H20">
        <f>MAX(0,MIN(1,_xlfn.NORM.INV(RAND(),mu_m_6p,sig_m_6p)))</f>
        <v/>
      </c>
      <c r="I20">
        <f>MAX(0,MIN(1,_xlfn.NORM.INV(RAND(),mu_m_6p,sig_m_6p)))</f>
        <v/>
      </c>
      <c r="J20">
        <f>MAX(0,MIN(1,_xlfn.NORM.INV(RAND(),mu_m_6p,sig_m_6p)))</f>
        <v/>
      </c>
      <c r="K20">
        <f>MAX(0,MIN(1,_xlfn.NORM.INV(RAND(),mu_m_6p,sig_m_6p)))</f>
        <v/>
      </c>
    </row>
    <row r="21">
      <c r="A21" t="n">
        <v>19</v>
      </c>
      <c r="B21">
        <f>MAX(0,MIN(1,_xlfn.NORM.INV(RAND(),mu_m_13,sig_m_13)))</f>
        <v/>
      </c>
      <c r="C21">
        <f>MAX(0,MIN(1,_xlfn.NORM.INV(RAND(),mu_m_13,sig_m_13)))</f>
        <v/>
      </c>
      <c r="D21">
        <f>MAX(0,MIN(1,_xlfn.NORM.INV(RAND(),mu_m_13,sig_m_13)))</f>
        <v/>
      </c>
      <c r="E21">
        <f>MAX(0,MIN(1,_xlfn.NORM.INV(RAND(),mu_m_45,sig_m_45)))</f>
        <v/>
      </c>
      <c r="F21">
        <f>MAX(0,MIN(1,_xlfn.NORM.INV(RAND(),mu_m_45,sig_m_45)))</f>
        <v/>
      </c>
      <c r="G21">
        <f>MAX(0,MIN(1,_xlfn.NORM.INV(RAND(),mu_m_6p,sig_m_6p)))</f>
        <v/>
      </c>
      <c r="H21">
        <f>MAX(0,MIN(1,_xlfn.NORM.INV(RAND(),mu_m_6p,sig_m_6p)))</f>
        <v/>
      </c>
      <c r="I21">
        <f>MAX(0,MIN(1,_xlfn.NORM.INV(RAND(),mu_m_6p,sig_m_6p)))</f>
        <v/>
      </c>
      <c r="J21">
        <f>MAX(0,MIN(1,_xlfn.NORM.INV(RAND(),mu_m_6p,sig_m_6p)))</f>
        <v/>
      </c>
      <c r="K21">
        <f>MAX(0,MIN(1,_xlfn.NORM.INV(RAND(),mu_m_6p,sig_m_6p)))</f>
        <v/>
      </c>
    </row>
    <row r="22">
      <c r="A22" t="n">
        <v>20</v>
      </c>
      <c r="B22">
        <f>MAX(0,MIN(1,_xlfn.NORM.INV(RAND(),mu_m_13,sig_m_13)))</f>
        <v/>
      </c>
      <c r="C22">
        <f>MAX(0,MIN(1,_xlfn.NORM.INV(RAND(),mu_m_13,sig_m_13)))</f>
        <v/>
      </c>
      <c r="D22">
        <f>MAX(0,MIN(1,_xlfn.NORM.INV(RAND(),mu_m_13,sig_m_13)))</f>
        <v/>
      </c>
      <c r="E22">
        <f>MAX(0,MIN(1,_xlfn.NORM.INV(RAND(),mu_m_45,sig_m_45)))</f>
        <v/>
      </c>
      <c r="F22">
        <f>MAX(0,MIN(1,_xlfn.NORM.INV(RAND(),mu_m_45,sig_m_45)))</f>
        <v/>
      </c>
      <c r="G22">
        <f>MAX(0,MIN(1,_xlfn.NORM.INV(RAND(),mu_m_6p,sig_m_6p)))</f>
        <v/>
      </c>
      <c r="H22">
        <f>MAX(0,MIN(1,_xlfn.NORM.INV(RAND(),mu_m_6p,sig_m_6p)))</f>
        <v/>
      </c>
      <c r="I22">
        <f>MAX(0,MIN(1,_xlfn.NORM.INV(RAND(),mu_m_6p,sig_m_6p)))</f>
        <v/>
      </c>
      <c r="J22">
        <f>MAX(0,MIN(1,_xlfn.NORM.INV(RAND(),mu_m_6p,sig_m_6p)))</f>
        <v/>
      </c>
      <c r="K22">
        <f>MAX(0,MIN(1,_xlfn.NORM.INV(RAND(),mu_m_6p,sig_m_6p)))</f>
        <v/>
      </c>
    </row>
    <row r="23">
      <c r="A23" t="n">
        <v>21</v>
      </c>
      <c r="B23">
        <f>MAX(0,MIN(1,_xlfn.NORM.INV(RAND(),mu_m_13,sig_m_13)))</f>
        <v/>
      </c>
      <c r="C23">
        <f>MAX(0,MIN(1,_xlfn.NORM.INV(RAND(),mu_m_13,sig_m_13)))</f>
        <v/>
      </c>
      <c r="D23">
        <f>MAX(0,MIN(1,_xlfn.NORM.INV(RAND(),mu_m_13,sig_m_13)))</f>
        <v/>
      </c>
      <c r="E23">
        <f>MAX(0,MIN(1,_xlfn.NORM.INV(RAND(),mu_m_45,sig_m_45)))</f>
        <v/>
      </c>
      <c r="F23">
        <f>MAX(0,MIN(1,_xlfn.NORM.INV(RAND(),mu_m_45,sig_m_45)))</f>
        <v/>
      </c>
      <c r="G23">
        <f>MAX(0,MIN(1,_xlfn.NORM.INV(RAND(),mu_m_6p,sig_m_6p)))</f>
        <v/>
      </c>
      <c r="H23">
        <f>MAX(0,MIN(1,_xlfn.NORM.INV(RAND(),mu_m_6p,sig_m_6p)))</f>
        <v/>
      </c>
      <c r="I23">
        <f>MAX(0,MIN(1,_xlfn.NORM.INV(RAND(),mu_m_6p,sig_m_6p)))</f>
        <v/>
      </c>
      <c r="J23">
        <f>MAX(0,MIN(1,_xlfn.NORM.INV(RAND(),mu_m_6p,sig_m_6p)))</f>
        <v/>
      </c>
      <c r="K23">
        <f>MAX(0,MIN(1,_xlfn.NORM.INV(RAND(),mu_m_6p,sig_m_6p)))</f>
        <v/>
      </c>
    </row>
    <row r="24">
      <c r="A24" t="n">
        <v>22</v>
      </c>
      <c r="B24">
        <f>MAX(0,MIN(1,_xlfn.NORM.INV(RAND(),mu_m_13,sig_m_13)))</f>
        <v/>
      </c>
      <c r="C24">
        <f>MAX(0,MIN(1,_xlfn.NORM.INV(RAND(),mu_m_13,sig_m_13)))</f>
        <v/>
      </c>
      <c r="D24">
        <f>MAX(0,MIN(1,_xlfn.NORM.INV(RAND(),mu_m_13,sig_m_13)))</f>
        <v/>
      </c>
      <c r="E24">
        <f>MAX(0,MIN(1,_xlfn.NORM.INV(RAND(),mu_m_45,sig_m_45)))</f>
        <v/>
      </c>
      <c r="F24">
        <f>MAX(0,MIN(1,_xlfn.NORM.INV(RAND(),mu_m_45,sig_m_45)))</f>
        <v/>
      </c>
      <c r="G24">
        <f>MAX(0,MIN(1,_xlfn.NORM.INV(RAND(),mu_m_6p,sig_m_6p)))</f>
        <v/>
      </c>
      <c r="H24">
        <f>MAX(0,MIN(1,_xlfn.NORM.INV(RAND(),mu_m_6p,sig_m_6p)))</f>
        <v/>
      </c>
      <c r="I24">
        <f>MAX(0,MIN(1,_xlfn.NORM.INV(RAND(),mu_m_6p,sig_m_6p)))</f>
        <v/>
      </c>
      <c r="J24">
        <f>MAX(0,MIN(1,_xlfn.NORM.INV(RAND(),mu_m_6p,sig_m_6p)))</f>
        <v/>
      </c>
      <c r="K24">
        <f>MAX(0,MIN(1,_xlfn.NORM.INV(RAND(),mu_m_6p,sig_m_6p)))</f>
        <v/>
      </c>
    </row>
    <row r="25">
      <c r="A25" t="n">
        <v>23</v>
      </c>
      <c r="B25">
        <f>MAX(0,MIN(1,_xlfn.NORM.INV(RAND(),mu_m_13,sig_m_13)))</f>
        <v/>
      </c>
      <c r="C25">
        <f>MAX(0,MIN(1,_xlfn.NORM.INV(RAND(),mu_m_13,sig_m_13)))</f>
        <v/>
      </c>
      <c r="D25">
        <f>MAX(0,MIN(1,_xlfn.NORM.INV(RAND(),mu_m_13,sig_m_13)))</f>
        <v/>
      </c>
      <c r="E25">
        <f>MAX(0,MIN(1,_xlfn.NORM.INV(RAND(),mu_m_45,sig_m_45)))</f>
        <v/>
      </c>
      <c r="F25">
        <f>MAX(0,MIN(1,_xlfn.NORM.INV(RAND(),mu_m_45,sig_m_45)))</f>
        <v/>
      </c>
      <c r="G25">
        <f>MAX(0,MIN(1,_xlfn.NORM.INV(RAND(),mu_m_6p,sig_m_6p)))</f>
        <v/>
      </c>
      <c r="H25">
        <f>MAX(0,MIN(1,_xlfn.NORM.INV(RAND(),mu_m_6p,sig_m_6p)))</f>
        <v/>
      </c>
      <c r="I25">
        <f>MAX(0,MIN(1,_xlfn.NORM.INV(RAND(),mu_m_6p,sig_m_6p)))</f>
        <v/>
      </c>
      <c r="J25">
        <f>MAX(0,MIN(1,_xlfn.NORM.INV(RAND(),mu_m_6p,sig_m_6p)))</f>
        <v/>
      </c>
      <c r="K25">
        <f>MAX(0,MIN(1,_xlfn.NORM.INV(RAND(),mu_m_6p,sig_m_6p)))</f>
        <v/>
      </c>
    </row>
    <row r="26">
      <c r="A26" t="n">
        <v>24</v>
      </c>
      <c r="B26">
        <f>MAX(0,MIN(1,_xlfn.NORM.INV(RAND(),mu_m_13,sig_m_13)))</f>
        <v/>
      </c>
      <c r="C26">
        <f>MAX(0,MIN(1,_xlfn.NORM.INV(RAND(),mu_m_13,sig_m_13)))</f>
        <v/>
      </c>
      <c r="D26">
        <f>MAX(0,MIN(1,_xlfn.NORM.INV(RAND(),mu_m_13,sig_m_13)))</f>
        <v/>
      </c>
      <c r="E26">
        <f>MAX(0,MIN(1,_xlfn.NORM.INV(RAND(),mu_m_45,sig_m_45)))</f>
        <v/>
      </c>
      <c r="F26">
        <f>MAX(0,MIN(1,_xlfn.NORM.INV(RAND(),mu_m_45,sig_m_45)))</f>
        <v/>
      </c>
      <c r="G26">
        <f>MAX(0,MIN(1,_xlfn.NORM.INV(RAND(),mu_m_6p,sig_m_6p)))</f>
        <v/>
      </c>
      <c r="H26">
        <f>MAX(0,MIN(1,_xlfn.NORM.INV(RAND(),mu_m_6p,sig_m_6p)))</f>
        <v/>
      </c>
      <c r="I26">
        <f>MAX(0,MIN(1,_xlfn.NORM.INV(RAND(),mu_m_6p,sig_m_6p)))</f>
        <v/>
      </c>
      <c r="J26">
        <f>MAX(0,MIN(1,_xlfn.NORM.INV(RAND(),mu_m_6p,sig_m_6p)))</f>
        <v/>
      </c>
      <c r="K26">
        <f>MAX(0,MIN(1,_xlfn.NORM.INV(RAND(),mu_m_6p,sig_m_6p)))</f>
        <v/>
      </c>
    </row>
    <row r="27">
      <c r="A27" t="n">
        <v>25</v>
      </c>
      <c r="B27">
        <f>MAX(0,MIN(1,_xlfn.NORM.INV(RAND(),mu_m_13,sig_m_13)))</f>
        <v/>
      </c>
      <c r="C27">
        <f>MAX(0,MIN(1,_xlfn.NORM.INV(RAND(),mu_m_13,sig_m_13)))</f>
        <v/>
      </c>
      <c r="D27">
        <f>MAX(0,MIN(1,_xlfn.NORM.INV(RAND(),mu_m_13,sig_m_13)))</f>
        <v/>
      </c>
      <c r="E27">
        <f>MAX(0,MIN(1,_xlfn.NORM.INV(RAND(),mu_m_45,sig_m_45)))</f>
        <v/>
      </c>
      <c r="F27">
        <f>MAX(0,MIN(1,_xlfn.NORM.INV(RAND(),mu_m_45,sig_m_45)))</f>
        <v/>
      </c>
      <c r="G27">
        <f>MAX(0,MIN(1,_xlfn.NORM.INV(RAND(),mu_m_6p,sig_m_6p)))</f>
        <v/>
      </c>
      <c r="H27">
        <f>MAX(0,MIN(1,_xlfn.NORM.INV(RAND(),mu_m_6p,sig_m_6p)))</f>
        <v/>
      </c>
      <c r="I27">
        <f>MAX(0,MIN(1,_xlfn.NORM.INV(RAND(),mu_m_6p,sig_m_6p)))</f>
        <v/>
      </c>
      <c r="J27">
        <f>MAX(0,MIN(1,_xlfn.NORM.INV(RAND(),mu_m_6p,sig_m_6p)))</f>
        <v/>
      </c>
      <c r="K27">
        <f>MAX(0,MIN(1,_xlfn.NORM.INV(RAND(),mu_m_6p,sig_m_6p)))</f>
        <v/>
      </c>
    </row>
    <row r="28">
      <c r="A28" t="n">
        <v>26</v>
      </c>
      <c r="B28">
        <f>MAX(0,MIN(1,_xlfn.NORM.INV(RAND(),mu_m_13,sig_m_13)))</f>
        <v/>
      </c>
      <c r="C28">
        <f>MAX(0,MIN(1,_xlfn.NORM.INV(RAND(),mu_m_13,sig_m_13)))</f>
        <v/>
      </c>
      <c r="D28">
        <f>MAX(0,MIN(1,_xlfn.NORM.INV(RAND(),mu_m_13,sig_m_13)))</f>
        <v/>
      </c>
      <c r="E28">
        <f>MAX(0,MIN(1,_xlfn.NORM.INV(RAND(),mu_m_45,sig_m_45)))</f>
        <v/>
      </c>
      <c r="F28">
        <f>MAX(0,MIN(1,_xlfn.NORM.INV(RAND(),mu_m_45,sig_m_45)))</f>
        <v/>
      </c>
      <c r="G28">
        <f>MAX(0,MIN(1,_xlfn.NORM.INV(RAND(),mu_m_6p,sig_m_6p)))</f>
        <v/>
      </c>
      <c r="H28">
        <f>MAX(0,MIN(1,_xlfn.NORM.INV(RAND(),mu_m_6p,sig_m_6p)))</f>
        <v/>
      </c>
      <c r="I28">
        <f>MAX(0,MIN(1,_xlfn.NORM.INV(RAND(),mu_m_6p,sig_m_6p)))</f>
        <v/>
      </c>
      <c r="J28">
        <f>MAX(0,MIN(1,_xlfn.NORM.INV(RAND(),mu_m_6p,sig_m_6p)))</f>
        <v/>
      </c>
      <c r="K28">
        <f>MAX(0,MIN(1,_xlfn.NORM.INV(RAND(),mu_m_6p,sig_m_6p)))</f>
        <v/>
      </c>
    </row>
    <row r="29">
      <c r="A29" t="n">
        <v>27</v>
      </c>
      <c r="B29">
        <f>MAX(0,MIN(1,_xlfn.NORM.INV(RAND(),mu_m_13,sig_m_13)))</f>
        <v/>
      </c>
      <c r="C29">
        <f>MAX(0,MIN(1,_xlfn.NORM.INV(RAND(),mu_m_13,sig_m_13)))</f>
        <v/>
      </c>
      <c r="D29">
        <f>MAX(0,MIN(1,_xlfn.NORM.INV(RAND(),mu_m_13,sig_m_13)))</f>
        <v/>
      </c>
      <c r="E29">
        <f>MAX(0,MIN(1,_xlfn.NORM.INV(RAND(),mu_m_45,sig_m_45)))</f>
        <v/>
      </c>
      <c r="F29">
        <f>MAX(0,MIN(1,_xlfn.NORM.INV(RAND(),mu_m_45,sig_m_45)))</f>
        <v/>
      </c>
      <c r="G29">
        <f>MAX(0,MIN(1,_xlfn.NORM.INV(RAND(),mu_m_6p,sig_m_6p)))</f>
        <v/>
      </c>
      <c r="H29">
        <f>MAX(0,MIN(1,_xlfn.NORM.INV(RAND(),mu_m_6p,sig_m_6p)))</f>
        <v/>
      </c>
      <c r="I29">
        <f>MAX(0,MIN(1,_xlfn.NORM.INV(RAND(),mu_m_6p,sig_m_6p)))</f>
        <v/>
      </c>
      <c r="J29">
        <f>MAX(0,MIN(1,_xlfn.NORM.INV(RAND(),mu_m_6p,sig_m_6p)))</f>
        <v/>
      </c>
      <c r="K29">
        <f>MAX(0,MIN(1,_xlfn.NORM.INV(RAND(),mu_m_6p,sig_m_6p)))</f>
        <v/>
      </c>
    </row>
    <row r="30">
      <c r="A30" t="n">
        <v>28</v>
      </c>
      <c r="B30">
        <f>MAX(0,MIN(1,_xlfn.NORM.INV(RAND(),mu_m_13,sig_m_13)))</f>
        <v/>
      </c>
      <c r="C30">
        <f>MAX(0,MIN(1,_xlfn.NORM.INV(RAND(),mu_m_13,sig_m_13)))</f>
        <v/>
      </c>
      <c r="D30">
        <f>MAX(0,MIN(1,_xlfn.NORM.INV(RAND(),mu_m_13,sig_m_13)))</f>
        <v/>
      </c>
      <c r="E30">
        <f>MAX(0,MIN(1,_xlfn.NORM.INV(RAND(),mu_m_45,sig_m_45)))</f>
        <v/>
      </c>
      <c r="F30">
        <f>MAX(0,MIN(1,_xlfn.NORM.INV(RAND(),mu_m_45,sig_m_45)))</f>
        <v/>
      </c>
      <c r="G30">
        <f>MAX(0,MIN(1,_xlfn.NORM.INV(RAND(),mu_m_6p,sig_m_6p)))</f>
        <v/>
      </c>
      <c r="H30">
        <f>MAX(0,MIN(1,_xlfn.NORM.INV(RAND(),mu_m_6p,sig_m_6p)))</f>
        <v/>
      </c>
      <c r="I30">
        <f>MAX(0,MIN(1,_xlfn.NORM.INV(RAND(),mu_m_6p,sig_m_6p)))</f>
        <v/>
      </c>
      <c r="J30">
        <f>MAX(0,MIN(1,_xlfn.NORM.INV(RAND(),mu_m_6p,sig_m_6p)))</f>
        <v/>
      </c>
      <c r="K30">
        <f>MAX(0,MIN(1,_xlfn.NORM.INV(RAND(),mu_m_6p,sig_m_6p)))</f>
        <v/>
      </c>
    </row>
    <row r="31">
      <c r="A31" t="n">
        <v>29</v>
      </c>
      <c r="B31">
        <f>MAX(0,MIN(1,_xlfn.NORM.INV(RAND(),mu_m_13,sig_m_13)))</f>
        <v/>
      </c>
      <c r="C31">
        <f>MAX(0,MIN(1,_xlfn.NORM.INV(RAND(),mu_m_13,sig_m_13)))</f>
        <v/>
      </c>
      <c r="D31">
        <f>MAX(0,MIN(1,_xlfn.NORM.INV(RAND(),mu_m_13,sig_m_13)))</f>
        <v/>
      </c>
      <c r="E31">
        <f>MAX(0,MIN(1,_xlfn.NORM.INV(RAND(),mu_m_45,sig_m_45)))</f>
        <v/>
      </c>
      <c r="F31">
        <f>MAX(0,MIN(1,_xlfn.NORM.INV(RAND(),mu_m_45,sig_m_45)))</f>
        <v/>
      </c>
      <c r="G31">
        <f>MAX(0,MIN(1,_xlfn.NORM.INV(RAND(),mu_m_6p,sig_m_6p)))</f>
        <v/>
      </c>
      <c r="H31">
        <f>MAX(0,MIN(1,_xlfn.NORM.INV(RAND(),mu_m_6p,sig_m_6p)))</f>
        <v/>
      </c>
      <c r="I31">
        <f>MAX(0,MIN(1,_xlfn.NORM.INV(RAND(),mu_m_6p,sig_m_6p)))</f>
        <v/>
      </c>
      <c r="J31">
        <f>MAX(0,MIN(1,_xlfn.NORM.INV(RAND(),mu_m_6p,sig_m_6p)))</f>
        <v/>
      </c>
      <c r="K31">
        <f>MAX(0,MIN(1,_xlfn.NORM.INV(RAND(),mu_m_6p,sig_m_6p)))</f>
        <v/>
      </c>
    </row>
    <row r="32">
      <c r="A32" t="n">
        <v>30</v>
      </c>
      <c r="B32">
        <f>MAX(0,MIN(1,_xlfn.NORM.INV(RAND(),mu_m_13,sig_m_13)))</f>
        <v/>
      </c>
      <c r="C32">
        <f>MAX(0,MIN(1,_xlfn.NORM.INV(RAND(),mu_m_13,sig_m_13)))</f>
        <v/>
      </c>
      <c r="D32">
        <f>MAX(0,MIN(1,_xlfn.NORM.INV(RAND(),mu_m_13,sig_m_13)))</f>
        <v/>
      </c>
      <c r="E32">
        <f>MAX(0,MIN(1,_xlfn.NORM.INV(RAND(),mu_m_45,sig_m_45)))</f>
        <v/>
      </c>
      <c r="F32">
        <f>MAX(0,MIN(1,_xlfn.NORM.INV(RAND(),mu_m_45,sig_m_45)))</f>
        <v/>
      </c>
      <c r="G32">
        <f>MAX(0,MIN(1,_xlfn.NORM.INV(RAND(),mu_m_6p,sig_m_6p)))</f>
        <v/>
      </c>
      <c r="H32">
        <f>MAX(0,MIN(1,_xlfn.NORM.INV(RAND(),mu_m_6p,sig_m_6p)))</f>
        <v/>
      </c>
      <c r="I32">
        <f>MAX(0,MIN(1,_xlfn.NORM.INV(RAND(),mu_m_6p,sig_m_6p)))</f>
        <v/>
      </c>
      <c r="J32">
        <f>MAX(0,MIN(1,_xlfn.NORM.INV(RAND(),mu_m_6p,sig_m_6p)))</f>
        <v/>
      </c>
      <c r="K32">
        <f>MAX(0,MIN(1,_xlfn.NORM.INV(RAND(),mu_m_6p,sig_m_6p)))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t \ a</t>
        </is>
      </c>
      <c r="B1" s="1" t="inlineStr">
        <is>
          <t>a=1</t>
        </is>
      </c>
      <c r="C1" s="1" t="inlineStr">
        <is>
          <t>a=2</t>
        </is>
      </c>
      <c r="D1" s="1" t="inlineStr">
        <is>
          <t>a=3</t>
        </is>
      </c>
      <c r="E1" s="1" t="inlineStr">
        <is>
          <t>a=4</t>
        </is>
      </c>
      <c r="F1" s="1" t="inlineStr">
        <is>
          <t>a=5</t>
        </is>
      </c>
      <c r="G1" s="1" t="inlineStr">
        <is>
          <t>a=6</t>
        </is>
      </c>
      <c r="H1" s="1" t="inlineStr">
        <is>
          <t>a=7</t>
        </is>
      </c>
      <c r="I1" s="1" t="inlineStr">
        <is>
          <t>a=8</t>
        </is>
      </c>
      <c r="J1" s="1" t="inlineStr">
        <is>
          <t>a=9</t>
        </is>
      </c>
      <c r="K1" s="1" t="inlineStr">
        <is>
          <t>a=10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>
        <f>IFERROR(_xlfn.BINOM.INV(MAX(0,z!B2),MAX(0,MIN(1,pch!B2)),RAND()),0)</f>
        <v/>
      </c>
      <c r="C3">
        <f>IFERROR(_xlfn.BINOM.INV(MAX(0,z!C2),MAX(0,MIN(1,pch!B2)),RAND()),0)</f>
        <v/>
      </c>
      <c r="D3">
        <f>IFERROR(_xlfn.BINOM.INV(MAX(0,z!D2),MAX(0,MIN(1,pch!B2)),RAND()),0)</f>
        <v/>
      </c>
      <c r="E3">
        <f>IFERROR(_xlfn.BINOM.INV(MAX(0,z!E2),MAX(0,MIN(1,pch!B2)),RAND()),0)</f>
        <v/>
      </c>
      <c r="F3">
        <f>IFERROR(_xlfn.BINOM.INV(MAX(0,z!F2),MAX(0,MIN(1,pch!B2)),RAND()),0)</f>
        <v/>
      </c>
      <c r="G3">
        <f>IFERROR(_xlfn.BINOM.INV(MAX(0,z!G2),MAX(0,MIN(1,pch!B2)),RAND()),0)</f>
        <v/>
      </c>
      <c r="H3">
        <f>IFERROR(_xlfn.BINOM.INV(MAX(0,z!H2),MAX(0,MIN(1,pch!B2)),RAND()),0)</f>
        <v/>
      </c>
      <c r="I3">
        <f>IFERROR(_xlfn.BINOM.INV(MAX(0,z!I2),MAX(0,MIN(1,pch!B2)),RAND()),0)</f>
        <v/>
      </c>
      <c r="J3">
        <f>IFERROR(_xlfn.BINOM.INV(MAX(0,z!J2),MAX(0,MIN(1,pch!B2)),RAND()),0)</f>
        <v/>
      </c>
      <c r="K3">
        <f>IFERROR(_xlfn.BINOM.INV(MAX(0,z!K2),MAX(0,MIN(1,pch!B2)),RAND()),0)</f>
        <v/>
      </c>
    </row>
    <row r="4">
      <c r="A4" t="n">
        <v>2</v>
      </c>
      <c r="B4">
        <f>IFERROR(_xlfn.BINOM.INV(MAX(0,z!B3),MAX(0,MIN(1,pch!B3)),RAND()),0)</f>
        <v/>
      </c>
      <c r="C4">
        <f>IFERROR(_xlfn.BINOM.INV(MAX(0,z!C3),MAX(0,MIN(1,pch!B3)),RAND()),0)</f>
        <v/>
      </c>
      <c r="D4">
        <f>IFERROR(_xlfn.BINOM.INV(MAX(0,z!D3),MAX(0,MIN(1,pch!B3)),RAND()),0)</f>
        <v/>
      </c>
      <c r="E4">
        <f>IFERROR(_xlfn.BINOM.INV(MAX(0,z!E3),MAX(0,MIN(1,pch!B3)),RAND()),0)</f>
        <v/>
      </c>
      <c r="F4">
        <f>IFERROR(_xlfn.BINOM.INV(MAX(0,z!F3),MAX(0,MIN(1,pch!B3)),RAND()),0)</f>
        <v/>
      </c>
      <c r="G4">
        <f>IFERROR(_xlfn.BINOM.INV(MAX(0,z!G3),MAX(0,MIN(1,pch!B3)),RAND()),0)</f>
        <v/>
      </c>
      <c r="H4">
        <f>IFERROR(_xlfn.BINOM.INV(MAX(0,z!H3),MAX(0,MIN(1,pch!B3)),RAND()),0)</f>
        <v/>
      </c>
      <c r="I4">
        <f>IFERROR(_xlfn.BINOM.INV(MAX(0,z!I3),MAX(0,MIN(1,pch!B3)),RAND()),0)</f>
        <v/>
      </c>
      <c r="J4">
        <f>IFERROR(_xlfn.BINOM.INV(MAX(0,z!J3),MAX(0,MIN(1,pch!B3)),RAND()),0)</f>
        <v/>
      </c>
      <c r="K4">
        <f>IFERROR(_xlfn.BINOM.INV(MAX(0,z!K3),MAX(0,MIN(1,pch!B3)),RAND()),0)</f>
        <v/>
      </c>
    </row>
    <row r="5">
      <c r="A5" t="n">
        <v>3</v>
      </c>
      <c r="B5">
        <f>IFERROR(_xlfn.BINOM.INV(MAX(0,z!B4),MAX(0,MIN(1,pch!B4)),RAND()),0)</f>
        <v/>
      </c>
      <c r="C5">
        <f>IFERROR(_xlfn.BINOM.INV(MAX(0,z!C4),MAX(0,MIN(1,pch!B4)),RAND()),0)</f>
        <v/>
      </c>
      <c r="D5">
        <f>IFERROR(_xlfn.BINOM.INV(MAX(0,z!D4),MAX(0,MIN(1,pch!B4)),RAND()),0)</f>
        <v/>
      </c>
      <c r="E5">
        <f>IFERROR(_xlfn.BINOM.INV(MAX(0,z!E4),MAX(0,MIN(1,pch!B4)),RAND()),0)</f>
        <v/>
      </c>
      <c r="F5">
        <f>IFERROR(_xlfn.BINOM.INV(MAX(0,z!F4),MAX(0,MIN(1,pch!B4)),RAND()),0)</f>
        <v/>
      </c>
      <c r="G5">
        <f>IFERROR(_xlfn.BINOM.INV(MAX(0,z!G4),MAX(0,MIN(1,pch!B4)),RAND()),0)</f>
        <v/>
      </c>
      <c r="H5">
        <f>IFERROR(_xlfn.BINOM.INV(MAX(0,z!H4),MAX(0,MIN(1,pch!B4)),RAND()),0)</f>
        <v/>
      </c>
      <c r="I5">
        <f>IFERROR(_xlfn.BINOM.INV(MAX(0,z!I4),MAX(0,MIN(1,pch!B4)),RAND()),0)</f>
        <v/>
      </c>
      <c r="J5">
        <f>IFERROR(_xlfn.BINOM.INV(MAX(0,z!J4),MAX(0,MIN(1,pch!B4)),RAND()),0)</f>
        <v/>
      </c>
      <c r="K5">
        <f>IFERROR(_xlfn.BINOM.INV(MAX(0,z!K4),MAX(0,MIN(1,pch!B4)),RAND()),0)</f>
        <v/>
      </c>
    </row>
    <row r="6">
      <c r="A6" t="n">
        <v>4</v>
      </c>
      <c r="B6">
        <f>IFERROR(_xlfn.BINOM.INV(MAX(0,z!B5),MAX(0,MIN(1,pch!B5)),RAND()),0)</f>
        <v/>
      </c>
      <c r="C6">
        <f>IFERROR(_xlfn.BINOM.INV(MAX(0,z!C5),MAX(0,MIN(1,pch!B5)),RAND()),0)</f>
        <v/>
      </c>
      <c r="D6">
        <f>IFERROR(_xlfn.BINOM.INV(MAX(0,z!D5),MAX(0,MIN(1,pch!B5)),RAND()),0)</f>
        <v/>
      </c>
      <c r="E6">
        <f>IFERROR(_xlfn.BINOM.INV(MAX(0,z!E5),MAX(0,MIN(1,pch!B5)),RAND()),0)</f>
        <v/>
      </c>
      <c r="F6">
        <f>IFERROR(_xlfn.BINOM.INV(MAX(0,z!F5),MAX(0,MIN(1,pch!B5)),RAND()),0)</f>
        <v/>
      </c>
      <c r="G6">
        <f>IFERROR(_xlfn.BINOM.INV(MAX(0,z!G5),MAX(0,MIN(1,pch!B5)),RAND()),0)</f>
        <v/>
      </c>
      <c r="H6">
        <f>IFERROR(_xlfn.BINOM.INV(MAX(0,z!H5),MAX(0,MIN(1,pch!B5)),RAND()),0)</f>
        <v/>
      </c>
      <c r="I6">
        <f>IFERROR(_xlfn.BINOM.INV(MAX(0,z!I5),MAX(0,MIN(1,pch!B5)),RAND()),0)</f>
        <v/>
      </c>
      <c r="J6">
        <f>IFERROR(_xlfn.BINOM.INV(MAX(0,z!J5),MAX(0,MIN(1,pch!B5)),RAND()),0)</f>
        <v/>
      </c>
      <c r="K6">
        <f>IFERROR(_xlfn.BINOM.INV(MAX(0,z!K5),MAX(0,MIN(1,pch!B5)),RAND()),0)</f>
        <v/>
      </c>
    </row>
    <row r="7">
      <c r="A7" t="n">
        <v>5</v>
      </c>
      <c r="B7">
        <f>IFERROR(_xlfn.BINOM.INV(MAX(0,z!B6),MAX(0,MIN(1,pch!B6)),RAND()),0)</f>
        <v/>
      </c>
      <c r="C7">
        <f>IFERROR(_xlfn.BINOM.INV(MAX(0,z!C6),MAX(0,MIN(1,pch!B6)),RAND()),0)</f>
        <v/>
      </c>
      <c r="D7">
        <f>IFERROR(_xlfn.BINOM.INV(MAX(0,z!D6),MAX(0,MIN(1,pch!B6)),RAND()),0)</f>
        <v/>
      </c>
      <c r="E7">
        <f>IFERROR(_xlfn.BINOM.INV(MAX(0,z!E6),MAX(0,MIN(1,pch!B6)),RAND()),0)</f>
        <v/>
      </c>
      <c r="F7">
        <f>IFERROR(_xlfn.BINOM.INV(MAX(0,z!F6),MAX(0,MIN(1,pch!B6)),RAND()),0)</f>
        <v/>
      </c>
      <c r="G7">
        <f>IFERROR(_xlfn.BINOM.INV(MAX(0,z!G6),MAX(0,MIN(1,pch!B6)),RAND()),0)</f>
        <v/>
      </c>
      <c r="H7">
        <f>IFERROR(_xlfn.BINOM.INV(MAX(0,z!H6),MAX(0,MIN(1,pch!B6)),RAND()),0)</f>
        <v/>
      </c>
      <c r="I7">
        <f>IFERROR(_xlfn.BINOM.INV(MAX(0,z!I6),MAX(0,MIN(1,pch!B6)),RAND()),0)</f>
        <v/>
      </c>
      <c r="J7">
        <f>IFERROR(_xlfn.BINOM.INV(MAX(0,z!J6),MAX(0,MIN(1,pch!B6)),RAND()),0)</f>
        <v/>
      </c>
      <c r="K7">
        <f>IFERROR(_xlfn.BINOM.INV(MAX(0,z!K6),MAX(0,MIN(1,pch!B6)),RAND()),0)</f>
        <v/>
      </c>
    </row>
    <row r="8">
      <c r="A8" t="n">
        <v>6</v>
      </c>
      <c r="B8">
        <f>IFERROR(_xlfn.BINOM.INV(MAX(0,z!B7),MAX(0,MIN(1,pch!B7)),RAND()),0)</f>
        <v/>
      </c>
      <c r="C8">
        <f>IFERROR(_xlfn.BINOM.INV(MAX(0,z!C7),MAX(0,MIN(1,pch!B7)),RAND()),0)</f>
        <v/>
      </c>
      <c r="D8">
        <f>IFERROR(_xlfn.BINOM.INV(MAX(0,z!D7),MAX(0,MIN(1,pch!B7)),RAND()),0)</f>
        <v/>
      </c>
      <c r="E8">
        <f>IFERROR(_xlfn.BINOM.INV(MAX(0,z!E7),MAX(0,MIN(1,pch!B7)),RAND()),0)</f>
        <v/>
      </c>
      <c r="F8">
        <f>IFERROR(_xlfn.BINOM.INV(MAX(0,z!F7),MAX(0,MIN(1,pch!B7)),RAND()),0)</f>
        <v/>
      </c>
      <c r="G8">
        <f>IFERROR(_xlfn.BINOM.INV(MAX(0,z!G7),MAX(0,MIN(1,pch!B7)),RAND()),0)</f>
        <v/>
      </c>
      <c r="H8">
        <f>IFERROR(_xlfn.BINOM.INV(MAX(0,z!H7),MAX(0,MIN(1,pch!B7)),RAND()),0)</f>
        <v/>
      </c>
      <c r="I8">
        <f>IFERROR(_xlfn.BINOM.INV(MAX(0,z!I7),MAX(0,MIN(1,pch!B7)),RAND()),0)</f>
        <v/>
      </c>
      <c r="J8">
        <f>IFERROR(_xlfn.BINOM.INV(MAX(0,z!J7),MAX(0,MIN(1,pch!B7)),RAND()),0)</f>
        <v/>
      </c>
      <c r="K8">
        <f>IFERROR(_xlfn.BINOM.INV(MAX(0,z!K7),MAX(0,MIN(1,pch!B7)),RAND()),0)</f>
        <v/>
      </c>
    </row>
    <row r="9">
      <c r="A9" t="n">
        <v>7</v>
      </c>
      <c r="B9">
        <f>IFERROR(_xlfn.BINOM.INV(MAX(0,z!B8),MAX(0,MIN(1,pch!B8)),RAND()),0)</f>
        <v/>
      </c>
      <c r="C9">
        <f>IFERROR(_xlfn.BINOM.INV(MAX(0,z!C8),MAX(0,MIN(1,pch!B8)),RAND()),0)</f>
        <v/>
      </c>
      <c r="D9">
        <f>IFERROR(_xlfn.BINOM.INV(MAX(0,z!D8),MAX(0,MIN(1,pch!B8)),RAND()),0)</f>
        <v/>
      </c>
      <c r="E9">
        <f>IFERROR(_xlfn.BINOM.INV(MAX(0,z!E8),MAX(0,MIN(1,pch!B8)),RAND()),0)</f>
        <v/>
      </c>
      <c r="F9">
        <f>IFERROR(_xlfn.BINOM.INV(MAX(0,z!F8),MAX(0,MIN(1,pch!B8)),RAND()),0)</f>
        <v/>
      </c>
      <c r="G9">
        <f>IFERROR(_xlfn.BINOM.INV(MAX(0,z!G8),MAX(0,MIN(1,pch!B8)),RAND()),0)</f>
        <v/>
      </c>
      <c r="H9">
        <f>IFERROR(_xlfn.BINOM.INV(MAX(0,z!H8),MAX(0,MIN(1,pch!B8)),RAND()),0)</f>
        <v/>
      </c>
      <c r="I9">
        <f>IFERROR(_xlfn.BINOM.INV(MAX(0,z!I8),MAX(0,MIN(1,pch!B8)),RAND()),0)</f>
        <v/>
      </c>
      <c r="J9">
        <f>IFERROR(_xlfn.BINOM.INV(MAX(0,z!J8),MAX(0,MIN(1,pch!B8)),RAND()),0)</f>
        <v/>
      </c>
      <c r="K9">
        <f>IFERROR(_xlfn.BINOM.INV(MAX(0,z!K8),MAX(0,MIN(1,pch!B8)),RAND()),0)</f>
        <v/>
      </c>
    </row>
    <row r="10">
      <c r="A10" t="n">
        <v>8</v>
      </c>
      <c r="B10">
        <f>IFERROR(_xlfn.BINOM.INV(MAX(0,z!B9),MAX(0,MIN(1,pch!B9)),RAND()),0)</f>
        <v/>
      </c>
      <c r="C10">
        <f>IFERROR(_xlfn.BINOM.INV(MAX(0,z!C9),MAX(0,MIN(1,pch!B9)),RAND()),0)</f>
        <v/>
      </c>
      <c r="D10">
        <f>IFERROR(_xlfn.BINOM.INV(MAX(0,z!D9),MAX(0,MIN(1,pch!B9)),RAND()),0)</f>
        <v/>
      </c>
      <c r="E10">
        <f>IFERROR(_xlfn.BINOM.INV(MAX(0,z!E9),MAX(0,MIN(1,pch!B9)),RAND()),0)</f>
        <v/>
      </c>
      <c r="F10">
        <f>IFERROR(_xlfn.BINOM.INV(MAX(0,z!F9),MAX(0,MIN(1,pch!B9)),RAND()),0)</f>
        <v/>
      </c>
      <c r="G10">
        <f>IFERROR(_xlfn.BINOM.INV(MAX(0,z!G9),MAX(0,MIN(1,pch!B9)),RAND()),0)</f>
        <v/>
      </c>
      <c r="H10">
        <f>IFERROR(_xlfn.BINOM.INV(MAX(0,z!H9),MAX(0,MIN(1,pch!B9)),RAND()),0)</f>
        <v/>
      </c>
      <c r="I10">
        <f>IFERROR(_xlfn.BINOM.INV(MAX(0,z!I9),MAX(0,MIN(1,pch!B9)),RAND()),0)</f>
        <v/>
      </c>
      <c r="J10">
        <f>IFERROR(_xlfn.BINOM.INV(MAX(0,z!J9),MAX(0,MIN(1,pch!B9)),RAND()),0)</f>
        <v/>
      </c>
      <c r="K10">
        <f>IFERROR(_xlfn.BINOM.INV(MAX(0,z!K9),MAX(0,MIN(1,pch!B9)),RAND()),0)</f>
        <v/>
      </c>
    </row>
    <row r="11">
      <c r="A11" t="n">
        <v>9</v>
      </c>
      <c r="B11">
        <f>IFERROR(_xlfn.BINOM.INV(MAX(0,z!B10),MAX(0,MIN(1,pch!B10)),RAND()),0)</f>
        <v/>
      </c>
      <c r="C11">
        <f>IFERROR(_xlfn.BINOM.INV(MAX(0,z!C10),MAX(0,MIN(1,pch!B10)),RAND()),0)</f>
        <v/>
      </c>
      <c r="D11">
        <f>IFERROR(_xlfn.BINOM.INV(MAX(0,z!D10),MAX(0,MIN(1,pch!B10)),RAND()),0)</f>
        <v/>
      </c>
      <c r="E11">
        <f>IFERROR(_xlfn.BINOM.INV(MAX(0,z!E10),MAX(0,MIN(1,pch!B10)),RAND()),0)</f>
        <v/>
      </c>
      <c r="F11">
        <f>IFERROR(_xlfn.BINOM.INV(MAX(0,z!F10),MAX(0,MIN(1,pch!B10)),RAND()),0)</f>
        <v/>
      </c>
      <c r="G11">
        <f>IFERROR(_xlfn.BINOM.INV(MAX(0,z!G10),MAX(0,MIN(1,pch!B10)),RAND()),0)</f>
        <v/>
      </c>
      <c r="H11">
        <f>IFERROR(_xlfn.BINOM.INV(MAX(0,z!H10),MAX(0,MIN(1,pch!B10)),RAND()),0)</f>
        <v/>
      </c>
      <c r="I11">
        <f>IFERROR(_xlfn.BINOM.INV(MAX(0,z!I10),MAX(0,MIN(1,pch!B10)),RAND()),0)</f>
        <v/>
      </c>
      <c r="J11">
        <f>IFERROR(_xlfn.BINOM.INV(MAX(0,z!J10),MAX(0,MIN(1,pch!B10)),RAND()),0)</f>
        <v/>
      </c>
      <c r="K11">
        <f>IFERROR(_xlfn.BINOM.INV(MAX(0,z!K10),MAX(0,MIN(1,pch!B10)),RAND()),0)</f>
        <v/>
      </c>
    </row>
    <row r="12">
      <c r="A12" t="n">
        <v>10</v>
      </c>
      <c r="B12">
        <f>IFERROR(_xlfn.BINOM.INV(MAX(0,z!B11),MAX(0,MIN(1,pch!B11)),RAND()),0)</f>
        <v/>
      </c>
      <c r="C12">
        <f>IFERROR(_xlfn.BINOM.INV(MAX(0,z!C11),MAX(0,MIN(1,pch!B11)),RAND()),0)</f>
        <v/>
      </c>
      <c r="D12">
        <f>IFERROR(_xlfn.BINOM.INV(MAX(0,z!D11),MAX(0,MIN(1,pch!B11)),RAND()),0)</f>
        <v/>
      </c>
      <c r="E12">
        <f>IFERROR(_xlfn.BINOM.INV(MAX(0,z!E11),MAX(0,MIN(1,pch!B11)),RAND()),0)</f>
        <v/>
      </c>
      <c r="F12">
        <f>IFERROR(_xlfn.BINOM.INV(MAX(0,z!F11),MAX(0,MIN(1,pch!B11)),RAND()),0)</f>
        <v/>
      </c>
      <c r="G12">
        <f>IFERROR(_xlfn.BINOM.INV(MAX(0,z!G11),MAX(0,MIN(1,pch!B11)),RAND()),0)</f>
        <v/>
      </c>
      <c r="H12">
        <f>IFERROR(_xlfn.BINOM.INV(MAX(0,z!H11),MAX(0,MIN(1,pch!B11)),RAND()),0)</f>
        <v/>
      </c>
      <c r="I12">
        <f>IFERROR(_xlfn.BINOM.INV(MAX(0,z!I11),MAX(0,MIN(1,pch!B11)),RAND()),0)</f>
        <v/>
      </c>
      <c r="J12">
        <f>IFERROR(_xlfn.BINOM.INV(MAX(0,z!J11),MAX(0,MIN(1,pch!B11)),RAND()),0)</f>
        <v/>
      </c>
      <c r="K12">
        <f>IFERROR(_xlfn.BINOM.INV(MAX(0,z!K11),MAX(0,MIN(1,pch!B11)),RAND()),0)</f>
        <v/>
      </c>
    </row>
    <row r="13">
      <c r="A13" t="n">
        <v>11</v>
      </c>
      <c r="B13">
        <f>IFERROR(_xlfn.BINOM.INV(MAX(0,z!B12),MAX(0,MIN(1,pch!B12)),RAND()),0)</f>
        <v/>
      </c>
      <c r="C13">
        <f>IFERROR(_xlfn.BINOM.INV(MAX(0,z!C12),MAX(0,MIN(1,pch!B12)),RAND()),0)</f>
        <v/>
      </c>
      <c r="D13">
        <f>IFERROR(_xlfn.BINOM.INV(MAX(0,z!D12),MAX(0,MIN(1,pch!B12)),RAND()),0)</f>
        <v/>
      </c>
      <c r="E13">
        <f>IFERROR(_xlfn.BINOM.INV(MAX(0,z!E12),MAX(0,MIN(1,pch!B12)),RAND()),0)</f>
        <v/>
      </c>
      <c r="F13">
        <f>IFERROR(_xlfn.BINOM.INV(MAX(0,z!F12),MAX(0,MIN(1,pch!B12)),RAND()),0)</f>
        <v/>
      </c>
      <c r="G13">
        <f>IFERROR(_xlfn.BINOM.INV(MAX(0,z!G12),MAX(0,MIN(1,pch!B12)),RAND()),0)</f>
        <v/>
      </c>
      <c r="H13">
        <f>IFERROR(_xlfn.BINOM.INV(MAX(0,z!H12),MAX(0,MIN(1,pch!B12)),RAND()),0)</f>
        <v/>
      </c>
      <c r="I13">
        <f>IFERROR(_xlfn.BINOM.INV(MAX(0,z!I12),MAX(0,MIN(1,pch!B12)),RAND()),0)</f>
        <v/>
      </c>
      <c r="J13">
        <f>IFERROR(_xlfn.BINOM.INV(MAX(0,z!J12),MAX(0,MIN(1,pch!B12)),RAND()),0)</f>
        <v/>
      </c>
      <c r="K13">
        <f>IFERROR(_xlfn.BINOM.INV(MAX(0,z!K12),MAX(0,MIN(1,pch!B12)),RAND()),0)</f>
        <v/>
      </c>
    </row>
    <row r="14">
      <c r="A14" t="n">
        <v>12</v>
      </c>
      <c r="B14">
        <f>IFERROR(_xlfn.BINOM.INV(MAX(0,z!B13),MAX(0,MIN(1,pch!B13)),RAND()),0)</f>
        <v/>
      </c>
      <c r="C14">
        <f>IFERROR(_xlfn.BINOM.INV(MAX(0,z!C13),MAX(0,MIN(1,pch!B13)),RAND()),0)</f>
        <v/>
      </c>
      <c r="D14">
        <f>IFERROR(_xlfn.BINOM.INV(MAX(0,z!D13),MAX(0,MIN(1,pch!B13)),RAND()),0)</f>
        <v/>
      </c>
      <c r="E14">
        <f>IFERROR(_xlfn.BINOM.INV(MAX(0,z!E13),MAX(0,MIN(1,pch!B13)),RAND()),0)</f>
        <v/>
      </c>
      <c r="F14">
        <f>IFERROR(_xlfn.BINOM.INV(MAX(0,z!F13),MAX(0,MIN(1,pch!B13)),RAND()),0)</f>
        <v/>
      </c>
      <c r="G14">
        <f>IFERROR(_xlfn.BINOM.INV(MAX(0,z!G13),MAX(0,MIN(1,pch!B13)),RAND()),0)</f>
        <v/>
      </c>
      <c r="H14">
        <f>IFERROR(_xlfn.BINOM.INV(MAX(0,z!H13),MAX(0,MIN(1,pch!B13)),RAND()),0)</f>
        <v/>
      </c>
      <c r="I14">
        <f>IFERROR(_xlfn.BINOM.INV(MAX(0,z!I13),MAX(0,MIN(1,pch!B13)),RAND()),0)</f>
        <v/>
      </c>
      <c r="J14">
        <f>IFERROR(_xlfn.BINOM.INV(MAX(0,z!J13),MAX(0,MIN(1,pch!B13)),RAND()),0)</f>
        <v/>
      </c>
      <c r="K14">
        <f>IFERROR(_xlfn.BINOM.INV(MAX(0,z!K13),MAX(0,MIN(1,pch!B13)),RAND()),0)</f>
        <v/>
      </c>
    </row>
    <row r="15">
      <c r="A15" t="n">
        <v>13</v>
      </c>
      <c r="B15">
        <f>IFERROR(_xlfn.BINOM.INV(MAX(0,z!B14),MAX(0,MIN(1,pch!B14)),RAND()),0)</f>
        <v/>
      </c>
      <c r="C15">
        <f>IFERROR(_xlfn.BINOM.INV(MAX(0,z!C14),MAX(0,MIN(1,pch!B14)),RAND()),0)</f>
        <v/>
      </c>
      <c r="D15">
        <f>IFERROR(_xlfn.BINOM.INV(MAX(0,z!D14),MAX(0,MIN(1,pch!B14)),RAND()),0)</f>
        <v/>
      </c>
      <c r="E15">
        <f>IFERROR(_xlfn.BINOM.INV(MAX(0,z!E14),MAX(0,MIN(1,pch!B14)),RAND()),0)</f>
        <v/>
      </c>
      <c r="F15">
        <f>IFERROR(_xlfn.BINOM.INV(MAX(0,z!F14),MAX(0,MIN(1,pch!B14)),RAND()),0)</f>
        <v/>
      </c>
      <c r="G15">
        <f>IFERROR(_xlfn.BINOM.INV(MAX(0,z!G14),MAX(0,MIN(1,pch!B14)),RAND()),0)</f>
        <v/>
      </c>
      <c r="H15">
        <f>IFERROR(_xlfn.BINOM.INV(MAX(0,z!H14),MAX(0,MIN(1,pch!B14)),RAND()),0)</f>
        <v/>
      </c>
      <c r="I15">
        <f>IFERROR(_xlfn.BINOM.INV(MAX(0,z!I14),MAX(0,MIN(1,pch!B14)),RAND()),0)</f>
        <v/>
      </c>
      <c r="J15">
        <f>IFERROR(_xlfn.BINOM.INV(MAX(0,z!J14),MAX(0,MIN(1,pch!B14)),RAND()),0)</f>
        <v/>
      </c>
      <c r="K15">
        <f>IFERROR(_xlfn.BINOM.INV(MAX(0,z!K14),MAX(0,MIN(1,pch!B14)),RAND()),0)</f>
        <v/>
      </c>
    </row>
    <row r="16">
      <c r="A16" t="n">
        <v>14</v>
      </c>
      <c r="B16">
        <f>IFERROR(_xlfn.BINOM.INV(MAX(0,z!B15),MAX(0,MIN(1,pch!B15)),RAND()),0)</f>
        <v/>
      </c>
      <c r="C16">
        <f>IFERROR(_xlfn.BINOM.INV(MAX(0,z!C15),MAX(0,MIN(1,pch!B15)),RAND()),0)</f>
        <v/>
      </c>
      <c r="D16">
        <f>IFERROR(_xlfn.BINOM.INV(MAX(0,z!D15),MAX(0,MIN(1,pch!B15)),RAND()),0)</f>
        <v/>
      </c>
      <c r="E16">
        <f>IFERROR(_xlfn.BINOM.INV(MAX(0,z!E15),MAX(0,MIN(1,pch!B15)),RAND()),0)</f>
        <v/>
      </c>
      <c r="F16">
        <f>IFERROR(_xlfn.BINOM.INV(MAX(0,z!F15),MAX(0,MIN(1,pch!B15)),RAND()),0)</f>
        <v/>
      </c>
      <c r="G16">
        <f>IFERROR(_xlfn.BINOM.INV(MAX(0,z!G15),MAX(0,MIN(1,pch!B15)),RAND()),0)</f>
        <v/>
      </c>
      <c r="H16">
        <f>IFERROR(_xlfn.BINOM.INV(MAX(0,z!H15),MAX(0,MIN(1,pch!B15)),RAND()),0)</f>
        <v/>
      </c>
      <c r="I16">
        <f>IFERROR(_xlfn.BINOM.INV(MAX(0,z!I15),MAX(0,MIN(1,pch!B15)),RAND()),0)</f>
        <v/>
      </c>
      <c r="J16">
        <f>IFERROR(_xlfn.BINOM.INV(MAX(0,z!J15),MAX(0,MIN(1,pch!B15)),RAND()),0)</f>
        <v/>
      </c>
      <c r="K16">
        <f>IFERROR(_xlfn.BINOM.INV(MAX(0,z!K15),MAX(0,MIN(1,pch!B15)),RAND()),0)</f>
        <v/>
      </c>
    </row>
    <row r="17">
      <c r="A17" t="n">
        <v>15</v>
      </c>
      <c r="B17">
        <f>IFERROR(_xlfn.BINOM.INV(MAX(0,z!B16),MAX(0,MIN(1,pch!B16)),RAND()),0)</f>
        <v/>
      </c>
      <c r="C17">
        <f>IFERROR(_xlfn.BINOM.INV(MAX(0,z!C16),MAX(0,MIN(1,pch!B16)),RAND()),0)</f>
        <v/>
      </c>
      <c r="D17">
        <f>IFERROR(_xlfn.BINOM.INV(MAX(0,z!D16),MAX(0,MIN(1,pch!B16)),RAND()),0)</f>
        <v/>
      </c>
      <c r="E17">
        <f>IFERROR(_xlfn.BINOM.INV(MAX(0,z!E16),MAX(0,MIN(1,pch!B16)),RAND()),0)</f>
        <v/>
      </c>
      <c r="F17">
        <f>IFERROR(_xlfn.BINOM.INV(MAX(0,z!F16),MAX(0,MIN(1,pch!B16)),RAND()),0)</f>
        <v/>
      </c>
      <c r="G17">
        <f>IFERROR(_xlfn.BINOM.INV(MAX(0,z!G16),MAX(0,MIN(1,pch!B16)),RAND()),0)</f>
        <v/>
      </c>
      <c r="H17">
        <f>IFERROR(_xlfn.BINOM.INV(MAX(0,z!H16),MAX(0,MIN(1,pch!B16)),RAND()),0)</f>
        <v/>
      </c>
      <c r="I17">
        <f>IFERROR(_xlfn.BINOM.INV(MAX(0,z!I16),MAX(0,MIN(1,pch!B16)),RAND()),0)</f>
        <v/>
      </c>
      <c r="J17">
        <f>IFERROR(_xlfn.BINOM.INV(MAX(0,z!J16),MAX(0,MIN(1,pch!B16)),RAND()),0)</f>
        <v/>
      </c>
      <c r="K17">
        <f>IFERROR(_xlfn.BINOM.INV(MAX(0,z!K16),MAX(0,MIN(1,pch!B16)),RAND()),0)</f>
        <v/>
      </c>
    </row>
    <row r="18">
      <c r="A18" t="n">
        <v>16</v>
      </c>
      <c r="B18">
        <f>IFERROR(_xlfn.BINOM.INV(MAX(0,z!B17),MAX(0,MIN(1,pch!B17)),RAND()),0)</f>
        <v/>
      </c>
      <c r="C18">
        <f>IFERROR(_xlfn.BINOM.INV(MAX(0,z!C17),MAX(0,MIN(1,pch!B17)),RAND()),0)</f>
        <v/>
      </c>
      <c r="D18">
        <f>IFERROR(_xlfn.BINOM.INV(MAX(0,z!D17),MAX(0,MIN(1,pch!B17)),RAND()),0)</f>
        <v/>
      </c>
      <c r="E18">
        <f>IFERROR(_xlfn.BINOM.INV(MAX(0,z!E17),MAX(0,MIN(1,pch!B17)),RAND()),0)</f>
        <v/>
      </c>
      <c r="F18">
        <f>IFERROR(_xlfn.BINOM.INV(MAX(0,z!F17),MAX(0,MIN(1,pch!B17)),RAND()),0)</f>
        <v/>
      </c>
      <c r="G18">
        <f>IFERROR(_xlfn.BINOM.INV(MAX(0,z!G17),MAX(0,MIN(1,pch!B17)),RAND()),0)</f>
        <v/>
      </c>
      <c r="H18">
        <f>IFERROR(_xlfn.BINOM.INV(MAX(0,z!H17),MAX(0,MIN(1,pch!B17)),RAND()),0)</f>
        <v/>
      </c>
      <c r="I18">
        <f>IFERROR(_xlfn.BINOM.INV(MAX(0,z!I17),MAX(0,MIN(1,pch!B17)),RAND()),0)</f>
        <v/>
      </c>
      <c r="J18">
        <f>IFERROR(_xlfn.BINOM.INV(MAX(0,z!J17),MAX(0,MIN(1,pch!B17)),RAND()),0)</f>
        <v/>
      </c>
      <c r="K18">
        <f>IFERROR(_xlfn.BINOM.INV(MAX(0,z!K17),MAX(0,MIN(1,pch!B17)),RAND()),0)</f>
        <v/>
      </c>
    </row>
    <row r="19">
      <c r="A19" t="n">
        <v>17</v>
      </c>
      <c r="B19">
        <f>IFERROR(_xlfn.BINOM.INV(MAX(0,z!B18),MAX(0,MIN(1,pch!B18)),RAND()),0)</f>
        <v/>
      </c>
      <c r="C19">
        <f>IFERROR(_xlfn.BINOM.INV(MAX(0,z!C18),MAX(0,MIN(1,pch!B18)),RAND()),0)</f>
        <v/>
      </c>
      <c r="D19">
        <f>IFERROR(_xlfn.BINOM.INV(MAX(0,z!D18),MAX(0,MIN(1,pch!B18)),RAND()),0)</f>
        <v/>
      </c>
      <c r="E19">
        <f>IFERROR(_xlfn.BINOM.INV(MAX(0,z!E18),MAX(0,MIN(1,pch!B18)),RAND()),0)</f>
        <v/>
      </c>
      <c r="F19">
        <f>IFERROR(_xlfn.BINOM.INV(MAX(0,z!F18),MAX(0,MIN(1,pch!B18)),RAND()),0)</f>
        <v/>
      </c>
      <c r="G19">
        <f>IFERROR(_xlfn.BINOM.INV(MAX(0,z!G18),MAX(0,MIN(1,pch!B18)),RAND()),0)</f>
        <v/>
      </c>
      <c r="H19">
        <f>IFERROR(_xlfn.BINOM.INV(MAX(0,z!H18),MAX(0,MIN(1,pch!B18)),RAND()),0)</f>
        <v/>
      </c>
      <c r="I19">
        <f>IFERROR(_xlfn.BINOM.INV(MAX(0,z!I18),MAX(0,MIN(1,pch!B18)),RAND()),0)</f>
        <v/>
      </c>
      <c r="J19">
        <f>IFERROR(_xlfn.BINOM.INV(MAX(0,z!J18),MAX(0,MIN(1,pch!B18)),RAND()),0)</f>
        <v/>
      </c>
      <c r="K19">
        <f>IFERROR(_xlfn.BINOM.INV(MAX(0,z!K18),MAX(0,MIN(1,pch!B18)),RAND()),0)</f>
        <v/>
      </c>
    </row>
    <row r="20">
      <c r="A20" t="n">
        <v>18</v>
      </c>
      <c r="B20">
        <f>IFERROR(_xlfn.BINOM.INV(MAX(0,z!B19),MAX(0,MIN(1,pch!B19)),RAND()),0)</f>
        <v/>
      </c>
      <c r="C20">
        <f>IFERROR(_xlfn.BINOM.INV(MAX(0,z!C19),MAX(0,MIN(1,pch!B19)),RAND()),0)</f>
        <v/>
      </c>
      <c r="D20">
        <f>IFERROR(_xlfn.BINOM.INV(MAX(0,z!D19),MAX(0,MIN(1,pch!B19)),RAND()),0)</f>
        <v/>
      </c>
      <c r="E20">
        <f>IFERROR(_xlfn.BINOM.INV(MAX(0,z!E19),MAX(0,MIN(1,pch!B19)),RAND()),0)</f>
        <v/>
      </c>
      <c r="F20">
        <f>IFERROR(_xlfn.BINOM.INV(MAX(0,z!F19),MAX(0,MIN(1,pch!B19)),RAND()),0)</f>
        <v/>
      </c>
      <c r="G20">
        <f>IFERROR(_xlfn.BINOM.INV(MAX(0,z!G19),MAX(0,MIN(1,pch!B19)),RAND()),0)</f>
        <v/>
      </c>
      <c r="H20">
        <f>IFERROR(_xlfn.BINOM.INV(MAX(0,z!H19),MAX(0,MIN(1,pch!B19)),RAND()),0)</f>
        <v/>
      </c>
      <c r="I20">
        <f>IFERROR(_xlfn.BINOM.INV(MAX(0,z!I19),MAX(0,MIN(1,pch!B19)),RAND()),0)</f>
        <v/>
      </c>
      <c r="J20">
        <f>IFERROR(_xlfn.BINOM.INV(MAX(0,z!J19),MAX(0,MIN(1,pch!B19)),RAND()),0)</f>
        <v/>
      </c>
      <c r="K20">
        <f>IFERROR(_xlfn.BINOM.INV(MAX(0,z!K19),MAX(0,MIN(1,pch!B19)),RAND()),0)</f>
        <v/>
      </c>
    </row>
    <row r="21">
      <c r="A21" t="n">
        <v>19</v>
      </c>
      <c r="B21">
        <f>IFERROR(_xlfn.BINOM.INV(MAX(0,z!B20),MAX(0,MIN(1,pch!B20)),RAND()),0)</f>
        <v/>
      </c>
      <c r="C21">
        <f>IFERROR(_xlfn.BINOM.INV(MAX(0,z!C20),MAX(0,MIN(1,pch!B20)),RAND()),0)</f>
        <v/>
      </c>
      <c r="D21">
        <f>IFERROR(_xlfn.BINOM.INV(MAX(0,z!D20),MAX(0,MIN(1,pch!B20)),RAND()),0)</f>
        <v/>
      </c>
      <c r="E21">
        <f>IFERROR(_xlfn.BINOM.INV(MAX(0,z!E20),MAX(0,MIN(1,pch!B20)),RAND()),0)</f>
        <v/>
      </c>
      <c r="F21">
        <f>IFERROR(_xlfn.BINOM.INV(MAX(0,z!F20),MAX(0,MIN(1,pch!B20)),RAND()),0)</f>
        <v/>
      </c>
      <c r="G21">
        <f>IFERROR(_xlfn.BINOM.INV(MAX(0,z!G20),MAX(0,MIN(1,pch!B20)),RAND()),0)</f>
        <v/>
      </c>
      <c r="H21">
        <f>IFERROR(_xlfn.BINOM.INV(MAX(0,z!H20),MAX(0,MIN(1,pch!B20)),RAND()),0)</f>
        <v/>
      </c>
      <c r="I21">
        <f>IFERROR(_xlfn.BINOM.INV(MAX(0,z!I20),MAX(0,MIN(1,pch!B20)),RAND()),0)</f>
        <v/>
      </c>
      <c r="J21">
        <f>IFERROR(_xlfn.BINOM.INV(MAX(0,z!J20),MAX(0,MIN(1,pch!B20)),RAND()),0)</f>
        <v/>
      </c>
      <c r="K21">
        <f>IFERROR(_xlfn.BINOM.INV(MAX(0,z!K20),MAX(0,MIN(1,pch!B20)),RAND()),0)</f>
        <v/>
      </c>
    </row>
    <row r="22">
      <c r="A22" t="n">
        <v>20</v>
      </c>
      <c r="B22">
        <f>IFERROR(_xlfn.BINOM.INV(MAX(0,z!B21),MAX(0,MIN(1,pch!B21)),RAND()),0)</f>
        <v/>
      </c>
      <c r="C22">
        <f>IFERROR(_xlfn.BINOM.INV(MAX(0,z!C21),MAX(0,MIN(1,pch!B21)),RAND()),0)</f>
        <v/>
      </c>
      <c r="D22">
        <f>IFERROR(_xlfn.BINOM.INV(MAX(0,z!D21),MAX(0,MIN(1,pch!B21)),RAND()),0)</f>
        <v/>
      </c>
      <c r="E22">
        <f>IFERROR(_xlfn.BINOM.INV(MAX(0,z!E21),MAX(0,MIN(1,pch!B21)),RAND()),0)</f>
        <v/>
      </c>
      <c r="F22">
        <f>IFERROR(_xlfn.BINOM.INV(MAX(0,z!F21),MAX(0,MIN(1,pch!B21)),RAND()),0)</f>
        <v/>
      </c>
      <c r="G22">
        <f>IFERROR(_xlfn.BINOM.INV(MAX(0,z!G21),MAX(0,MIN(1,pch!B21)),RAND()),0)</f>
        <v/>
      </c>
      <c r="H22">
        <f>IFERROR(_xlfn.BINOM.INV(MAX(0,z!H21),MAX(0,MIN(1,pch!B21)),RAND()),0)</f>
        <v/>
      </c>
      <c r="I22">
        <f>IFERROR(_xlfn.BINOM.INV(MAX(0,z!I21),MAX(0,MIN(1,pch!B21)),RAND()),0)</f>
        <v/>
      </c>
      <c r="J22">
        <f>IFERROR(_xlfn.BINOM.INV(MAX(0,z!J21),MAX(0,MIN(1,pch!B21)),RAND()),0)</f>
        <v/>
      </c>
      <c r="K22">
        <f>IFERROR(_xlfn.BINOM.INV(MAX(0,z!K21),MAX(0,MIN(1,pch!B21)),RAND()),0)</f>
        <v/>
      </c>
    </row>
    <row r="23">
      <c r="A23" t="n">
        <v>21</v>
      </c>
      <c r="B23">
        <f>IFERROR(_xlfn.BINOM.INV(MAX(0,z!B22),MAX(0,MIN(1,pch!B22)),RAND()),0)</f>
        <v/>
      </c>
      <c r="C23">
        <f>IFERROR(_xlfn.BINOM.INV(MAX(0,z!C22),MAX(0,MIN(1,pch!B22)),RAND()),0)</f>
        <v/>
      </c>
      <c r="D23">
        <f>IFERROR(_xlfn.BINOM.INV(MAX(0,z!D22),MAX(0,MIN(1,pch!B22)),RAND()),0)</f>
        <v/>
      </c>
      <c r="E23">
        <f>IFERROR(_xlfn.BINOM.INV(MAX(0,z!E22),MAX(0,MIN(1,pch!B22)),RAND()),0)</f>
        <v/>
      </c>
      <c r="F23">
        <f>IFERROR(_xlfn.BINOM.INV(MAX(0,z!F22),MAX(0,MIN(1,pch!B22)),RAND()),0)</f>
        <v/>
      </c>
      <c r="G23">
        <f>IFERROR(_xlfn.BINOM.INV(MAX(0,z!G22),MAX(0,MIN(1,pch!B22)),RAND()),0)</f>
        <v/>
      </c>
      <c r="H23">
        <f>IFERROR(_xlfn.BINOM.INV(MAX(0,z!H22),MAX(0,MIN(1,pch!B22)),RAND()),0)</f>
        <v/>
      </c>
      <c r="I23">
        <f>IFERROR(_xlfn.BINOM.INV(MAX(0,z!I22),MAX(0,MIN(1,pch!B22)),RAND()),0)</f>
        <v/>
      </c>
      <c r="J23">
        <f>IFERROR(_xlfn.BINOM.INV(MAX(0,z!J22),MAX(0,MIN(1,pch!B22)),RAND()),0)</f>
        <v/>
      </c>
      <c r="K23">
        <f>IFERROR(_xlfn.BINOM.INV(MAX(0,z!K22),MAX(0,MIN(1,pch!B22)),RAND()),0)</f>
        <v/>
      </c>
    </row>
    <row r="24">
      <c r="A24" t="n">
        <v>22</v>
      </c>
      <c r="B24">
        <f>IFERROR(_xlfn.BINOM.INV(MAX(0,z!B23),MAX(0,MIN(1,pch!B23)),RAND()),0)</f>
        <v/>
      </c>
      <c r="C24">
        <f>IFERROR(_xlfn.BINOM.INV(MAX(0,z!C23),MAX(0,MIN(1,pch!B23)),RAND()),0)</f>
        <v/>
      </c>
      <c r="D24">
        <f>IFERROR(_xlfn.BINOM.INV(MAX(0,z!D23),MAX(0,MIN(1,pch!B23)),RAND()),0)</f>
        <v/>
      </c>
      <c r="E24">
        <f>IFERROR(_xlfn.BINOM.INV(MAX(0,z!E23),MAX(0,MIN(1,pch!B23)),RAND()),0)</f>
        <v/>
      </c>
      <c r="F24">
        <f>IFERROR(_xlfn.BINOM.INV(MAX(0,z!F23),MAX(0,MIN(1,pch!B23)),RAND()),0)</f>
        <v/>
      </c>
      <c r="G24">
        <f>IFERROR(_xlfn.BINOM.INV(MAX(0,z!G23),MAX(0,MIN(1,pch!B23)),RAND()),0)</f>
        <v/>
      </c>
      <c r="H24">
        <f>IFERROR(_xlfn.BINOM.INV(MAX(0,z!H23),MAX(0,MIN(1,pch!B23)),RAND()),0)</f>
        <v/>
      </c>
      <c r="I24">
        <f>IFERROR(_xlfn.BINOM.INV(MAX(0,z!I23),MAX(0,MIN(1,pch!B23)),RAND()),0)</f>
        <v/>
      </c>
      <c r="J24">
        <f>IFERROR(_xlfn.BINOM.INV(MAX(0,z!J23),MAX(0,MIN(1,pch!B23)),RAND()),0)</f>
        <v/>
      </c>
      <c r="K24">
        <f>IFERROR(_xlfn.BINOM.INV(MAX(0,z!K23),MAX(0,MIN(1,pch!B23)),RAND()),0)</f>
        <v/>
      </c>
    </row>
    <row r="25">
      <c r="A25" t="n">
        <v>23</v>
      </c>
      <c r="B25">
        <f>IFERROR(_xlfn.BINOM.INV(MAX(0,z!B24),MAX(0,MIN(1,pch!B24)),RAND()),0)</f>
        <v/>
      </c>
      <c r="C25">
        <f>IFERROR(_xlfn.BINOM.INV(MAX(0,z!C24),MAX(0,MIN(1,pch!B24)),RAND()),0)</f>
        <v/>
      </c>
      <c r="D25">
        <f>IFERROR(_xlfn.BINOM.INV(MAX(0,z!D24),MAX(0,MIN(1,pch!B24)),RAND()),0)</f>
        <v/>
      </c>
      <c r="E25">
        <f>IFERROR(_xlfn.BINOM.INV(MAX(0,z!E24),MAX(0,MIN(1,pch!B24)),RAND()),0)</f>
        <v/>
      </c>
      <c r="F25">
        <f>IFERROR(_xlfn.BINOM.INV(MAX(0,z!F24),MAX(0,MIN(1,pch!B24)),RAND()),0)</f>
        <v/>
      </c>
      <c r="G25">
        <f>IFERROR(_xlfn.BINOM.INV(MAX(0,z!G24),MAX(0,MIN(1,pch!B24)),RAND()),0)</f>
        <v/>
      </c>
      <c r="H25">
        <f>IFERROR(_xlfn.BINOM.INV(MAX(0,z!H24),MAX(0,MIN(1,pch!B24)),RAND()),0)</f>
        <v/>
      </c>
      <c r="I25">
        <f>IFERROR(_xlfn.BINOM.INV(MAX(0,z!I24),MAX(0,MIN(1,pch!B24)),RAND()),0)</f>
        <v/>
      </c>
      <c r="J25">
        <f>IFERROR(_xlfn.BINOM.INV(MAX(0,z!J24),MAX(0,MIN(1,pch!B24)),RAND()),0)</f>
        <v/>
      </c>
      <c r="K25">
        <f>IFERROR(_xlfn.BINOM.INV(MAX(0,z!K24),MAX(0,MIN(1,pch!B24)),RAND()),0)</f>
        <v/>
      </c>
    </row>
    <row r="26">
      <c r="A26" t="n">
        <v>24</v>
      </c>
      <c r="B26">
        <f>IFERROR(_xlfn.BINOM.INV(MAX(0,z!B25),MAX(0,MIN(1,pch!B25)),RAND()),0)</f>
        <v/>
      </c>
      <c r="C26">
        <f>IFERROR(_xlfn.BINOM.INV(MAX(0,z!C25),MAX(0,MIN(1,pch!B25)),RAND()),0)</f>
        <v/>
      </c>
      <c r="D26">
        <f>IFERROR(_xlfn.BINOM.INV(MAX(0,z!D25),MAX(0,MIN(1,pch!B25)),RAND()),0)</f>
        <v/>
      </c>
      <c r="E26">
        <f>IFERROR(_xlfn.BINOM.INV(MAX(0,z!E25),MAX(0,MIN(1,pch!B25)),RAND()),0)</f>
        <v/>
      </c>
      <c r="F26">
        <f>IFERROR(_xlfn.BINOM.INV(MAX(0,z!F25),MAX(0,MIN(1,pch!B25)),RAND()),0)</f>
        <v/>
      </c>
      <c r="G26">
        <f>IFERROR(_xlfn.BINOM.INV(MAX(0,z!G25),MAX(0,MIN(1,pch!B25)),RAND()),0)</f>
        <v/>
      </c>
      <c r="H26">
        <f>IFERROR(_xlfn.BINOM.INV(MAX(0,z!H25),MAX(0,MIN(1,pch!B25)),RAND()),0)</f>
        <v/>
      </c>
      <c r="I26">
        <f>IFERROR(_xlfn.BINOM.INV(MAX(0,z!I25),MAX(0,MIN(1,pch!B25)),RAND()),0)</f>
        <v/>
      </c>
      <c r="J26">
        <f>IFERROR(_xlfn.BINOM.INV(MAX(0,z!J25),MAX(0,MIN(1,pch!B25)),RAND()),0)</f>
        <v/>
      </c>
      <c r="K26">
        <f>IFERROR(_xlfn.BINOM.INV(MAX(0,z!K25),MAX(0,MIN(1,pch!B25)),RAND()),0)</f>
        <v/>
      </c>
    </row>
    <row r="27">
      <c r="A27" t="n">
        <v>25</v>
      </c>
      <c r="B27">
        <f>IFERROR(_xlfn.BINOM.INV(MAX(0,z!B26),MAX(0,MIN(1,pch!B26)),RAND()),0)</f>
        <v/>
      </c>
      <c r="C27">
        <f>IFERROR(_xlfn.BINOM.INV(MAX(0,z!C26),MAX(0,MIN(1,pch!B26)),RAND()),0)</f>
        <v/>
      </c>
      <c r="D27">
        <f>IFERROR(_xlfn.BINOM.INV(MAX(0,z!D26),MAX(0,MIN(1,pch!B26)),RAND()),0)</f>
        <v/>
      </c>
      <c r="E27">
        <f>IFERROR(_xlfn.BINOM.INV(MAX(0,z!E26),MAX(0,MIN(1,pch!B26)),RAND()),0)</f>
        <v/>
      </c>
      <c r="F27">
        <f>IFERROR(_xlfn.BINOM.INV(MAX(0,z!F26),MAX(0,MIN(1,pch!B26)),RAND()),0)</f>
        <v/>
      </c>
      <c r="G27">
        <f>IFERROR(_xlfn.BINOM.INV(MAX(0,z!G26),MAX(0,MIN(1,pch!B26)),RAND()),0)</f>
        <v/>
      </c>
      <c r="H27">
        <f>IFERROR(_xlfn.BINOM.INV(MAX(0,z!H26),MAX(0,MIN(1,pch!B26)),RAND()),0)</f>
        <v/>
      </c>
      <c r="I27">
        <f>IFERROR(_xlfn.BINOM.INV(MAX(0,z!I26),MAX(0,MIN(1,pch!B26)),RAND()),0)</f>
        <v/>
      </c>
      <c r="J27">
        <f>IFERROR(_xlfn.BINOM.INV(MAX(0,z!J26),MAX(0,MIN(1,pch!B26)),RAND()),0)</f>
        <v/>
      </c>
      <c r="K27">
        <f>IFERROR(_xlfn.BINOM.INV(MAX(0,z!K26),MAX(0,MIN(1,pch!B26)),RAND()),0)</f>
        <v/>
      </c>
    </row>
    <row r="28">
      <c r="A28" t="n">
        <v>26</v>
      </c>
      <c r="B28">
        <f>IFERROR(_xlfn.BINOM.INV(MAX(0,z!B27),MAX(0,MIN(1,pch!B27)),RAND()),0)</f>
        <v/>
      </c>
      <c r="C28">
        <f>IFERROR(_xlfn.BINOM.INV(MAX(0,z!C27),MAX(0,MIN(1,pch!B27)),RAND()),0)</f>
        <v/>
      </c>
      <c r="D28">
        <f>IFERROR(_xlfn.BINOM.INV(MAX(0,z!D27),MAX(0,MIN(1,pch!B27)),RAND()),0)</f>
        <v/>
      </c>
      <c r="E28">
        <f>IFERROR(_xlfn.BINOM.INV(MAX(0,z!E27),MAX(0,MIN(1,pch!B27)),RAND()),0)</f>
        <v/>
      </c>
      <c r="F28">
        <f>IFERROR(_xlfn.BINOM.INV(MAX(0,z!F27),MAX(0,MIN(1,pch!B27)),RAND()),0)</f>
        <v/>
      </c>
      <c r="G28">
        <f>IFERROR(_xlfn.BINOM.INV(MAX(0,z!G27),MAX(0,MIN(1,pch!B27)),RAND()),0)</f>
        <v/>
      </c>
      <c r="H28">
        <f>IFERROR(_xlfn.BINOM.INV(MAX(0,z!H27),MAX(0,MIN(1,pch!B27)),RAND()),0)</f>
        <v/>
      </c>
      <c r="I28">
        <f>IFERROR(_xlfn.BINOM.INV(MAX(0,z!I27),MAX(0,MIN(1,pch!B27)),RAND()),0)</f>
        <v/>
      </c>
      <c r="J28">
        <f>IFERROR(_xlfn.BINOM.INV(MAX(0,z!J27),MAX(0,MIN(1,pch!B27)),RAND()),0)</f>
        <v/>
      </c>
      <c r="K28">
        <f>IFERROR(_xlfn.BINOM.INV(MAX(0,z!K27),MAX(0,MIN(1,pch!B27)),RAND()),0)</f>
        <v/>
      </c>
    </row>
    <row r="29">
      <c r="A29" t="n">
        <v>27</v>
      </c>
      <c r="B29">
        <f>IFERROR(_xlfn.BINOM.INV(MAX(0,z!B28),MAX(0,MIN(1,pch!B28)),RAND()),0)</f>
        <v/>
      </c>
      <c r="C29">
        <f>IFERROR(_xlfn.BINOM.INV(MAX(0,z!C28),MAX(0,MIN(1,pch!B28)),RAND()),0)</f>
        <v/>
      </c>
      <c r="D29">
        <f>IFERROR(_xlfn.BINOM.INV(MAX(0,z!D28),MAX(0,MIN(1,pch!B28)),RAND()),0)</f>
        <v/>
      </c>
      <c r="E29">
        <f>IFERROR(_xlfn.BINOM.INV(MAX(0,z!E28),MAX(0,MIN(1,pch!B28)),RAND()),0)</f>
        <v/>
      </c>
      <c r="F29">
        <f>IFERROR(_xlfn.BINOM.INV(MAX(0,z!F28),MAX(0,MIN(1,pch!B28)),RAND()),0)</f>
        <v/>
      </c>
      <c r="G29">
        <f>IFERROR(_xlfn.BINOM.INV(MAX(0,z!G28),MAX(0,MIN(1,pch!B28)),RAND()),0)</f>
        <v/>
      </c>
      <c r="H29">
        <f>IFERROR(_xlfn.BINOM.INV(MAX(0,z!H28),MAX(0,MIN(1,pch!B28)),RAND()),0)</f>
        <v/>
      </c>
      <c r="I29">
        <f>IFERROR(_xlfn.BINOM.INV(MAX(0,z!I28),MAX(0,MIN(1,pch!B28)),RAND()),0)</f>
        <v/>
      </c>
      <c r="J29">
        <f>IFERROR(_xlfn.BINOM.INV(MAX(0,z!J28),MAX(0,MIN(1,pch!B28)),RAND()),0)</f>
        <v/>
      </c>
      <c r="K29">
        <f>IFERROR(_xlfn.BINOM.INV(MAX(0,z!K28),MAX(0,MIN(1,pch!B28)),RAND()),0)</f>
        <v/>
      </c>
    </row>
    <row r="30">
      <c r="A30" t="n">
        <v>28</v>
      </c>
      <c r="B30">
        <f>IFERROR(_xlfn.BINOM.INV(MAX(0,z!B29),MAX(0,MIN(1,pch!B29)),RAND()),0)</f>
        <v/>
      </c>
      <c r="C30">
        <f>IFERROR(_xlfn.BINOM.INV(MAX(0,z!C29),MAX(0,MIN(1,pch!B29)),RAND()),0)</f>
        <v/>
      </c>
      <c r="D30">
        <f>IFERROR(_xlfn.BINOM.INV(MAX(0,z!D29),MAX(0,MIN(1,pch!B29)),RAND()),0)</f>
        <v/>
      </c>
      <c r="E30">
        <f>IFERROR(_xlfn.BINOM.INV(MAX(0,z!E29),MAX(0,MIN(1,pch!B29)),RAND()),0)</f>
        <v/>
      </c>
      <c r="F30">
        <f>IFERROR(_xlfn.BINOM.INV(MAX(0,z!F29),MAX(0,MIN(1,pch!B29)),RAND()),0)</f>
        <v/>
      </c>
      <c r="G30">
        <f>IFERROR(_xlfn.BINOM.INV(MAX(0,z!G29),MAX(0,MIN(1,pch!B29)),RAND()),0)</f>
        <v/>
      </c>
      <c r="H30">
        <f>IFERROR(_xlfn.BINOM.INV(MAX(0,z!H29),MAX(0,MIN(1,pch!B29)),RAND()),0)</f>
        <v/>
      </c>
      <c r="I30">
        <f>IFERROR(_xlfn.BINOM.INV(MAX(0,z!I29),MAX(0,MIN(1,pch!B29)),RAND()),0)</f>
        <v/>
      </c>
      <c r="J30">
        <f>IFERROR(_xlfn.BINOM.INV(MAX(0,z!J29),MAX(0,MIN(1,pch!B29)),RAND()),0)</f>
        <v/>
      </c>
      <c r="K30">
        <f>IFERROR(_xlfn.BINOM.INV(MAX(0,z!K29),MAX(0,MIN(1,pch!B29)),RAND()),0)</f>
        <v/>
      </c>
    </row>
    <row r="31">
      <c r="A31" t="n">
        <v>29</v>
      </c>
      <c r="B31">
        <f>IFERROR(_xlfn.BINOM.INV(MAX(0,z!B30),MAX(0,MIN(1,pch!B30)),RAND()),0)</f>
        <v/>
      </c>
      <c r="C31">
        <f>IFERROR(_xlfn.BINOM.INV(MAX(0,z!C30),MAX(0,MIN(1,pch!B30)),RAND()),0)</f>
        <v/>
      </c>
      <c r="D31">
        <f>IFERROR(_xlfn.BINOM.INV(MAX(0,z!D30),MAX(0,MIN(1,pch!B30)),RAND()),0)</f>
        <v/>
      </c>
      <c r="E31">
        <f>IFERROR(_xlfn.BINOM.INV(MAX(0,z!E30),MAX(0,MIN(1,pch!B30)),RAND()),0)</f>
        <v/>
      </c>
      <c r="F31">
        <f>IFERROR(_xlfn.BINOM.INV(MAX(0,z!F30),MAX(0,MIN(1,pch!B30)),RAND()),0)</f>
        <v/>
      </c>
      <c r="G31">
        <f>IFERROR(_xlfn.BINOM.INV(MAX(0,z!G30),MAX(0,MIN(1,pch!B30)),RAND()),0)</f>
        <v/>
      </c>
      <c r="H31">
        <f>IFERROR(_xlfn.BINOM.INV(MAX(0,z!H30),MAX(0,MIN(1,pch!B30)),RAND()),0)</f>
        <v/>
      </c>
      <c r="I31">
        <f>IFERROR(_xlfn.BINOM.INV(MAX(0,z!I30),MAX(0,MIN(1,pch!B30)),RAND()),0)</f>
        <v/>
      </c>
      <c r="J31">
        <f>IFERROR(_xlfn.BINOM.INV(MAX(0,z!J30),MAX(0,MIN(1,pch!B30)),RAND()),0)</f>
        <v/>
      </c>
      <c r="K31">
        <f>IFERROR(_xlfn.BINOM.INV(MAX(0,z!K30),MAX(0,MIN(1,pch!B30)),RAND()),0)</f>
        <v/>
      </c>
    </row>
    <row r="32">
      <c r="A32" t="n">
        <v>30</v>
      </c>
      <c r="B32">
        <f>IFERROR(_xlfn.BINOM.INV(MAX(0,z!B31),MAX(0,MIN(1,pch!B31)),RAND()),0)</f>
        <v/>
      </c>
      <c r="C32">
        <f>IFERROR(_xlfn.BINOM.INV(MAX(0,z!C31),MAX(0,MIN(1,pch!B31)),RAND()),0)</f>
        <v/>
      </c>
      <c r="D32">
        <f>IFERROR(_xlfn.BINOM.INV(MAX(0,z!D31),MAX(0,MIN(1,pch!B31)),RAND()),0)</f>
        <v/>
      </c>
      <c r="E32">
        <f>IFERROR(_xlfn.BINOM.INV(MAX(0,z!E31),MAX(0,MIN(1,pch!B31)),RAND()),0)</f>
        <v/>
      </c>
      <c r="F32">
        <f>IFERROR(_xlfn.BINOM.INV(MAX(0,z!F31),MAX(0,MIN(1,pch!B31)),RAND()),0)</f>
        <v/>
      </c>
      <c r="G32">
        <f>IFERROR(_xlfn.BINOM.INV(MAX(0,z!G31),MAX(0,MIN(1,pch!B31)),RAND()),0)</f>
        <v/>
      </c>
      <c r="H32">
        <f>IFERROR(_xlfn.BINOM.INV(MAX(0,z!H31),MAX(0,MIN(1,pch!B31)),RAND()),0)</f>
        <v/>
      </c>
      <c r="I32">
        <f>IFERROR(_xlfn.BINOM.INV(MAX(0,z!I31),MAX(0,MIN(1,pch!B31)),RAND()),0)</f>
        <v/>
      </c>
      <c r="J32">
        <f>IFERROR(_xlfn.BINOM.INV(MAX(0,z!J31),MAX(0,MIN(1,pch!B31)),RAND()),0)</f>
        <v/>
      </c>
      <c r="K32">
        <f>IFERROR(_xlfn.BINOM.INV(MAX(0,z!K31),MAX(0,MIN(1,pch!B31)),RAND()),0)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t \ a</t>
        </is>
      </c>
      <c r="B1" s="1" t="inlineStr">
        <is>
          <t>a=1</t>
        </is>
      </c>
      <c r="C1" s="1" t="inlineStr">
        <is>
          <t>a=2</t>
        </is>
      </c>
      <c r="D1" s="1" t="inlineStr">
        <is>
          <t>a=3</t>
        </is>
      </c>
      <c r="E1" s="1" t="inlineStr">
        <is>
          <t>a=4</t>
        </is>
      </c>
      <c r="F1" s="1" t="inlineStr">
        <is>
          <t>a=5</t>
        </is>
      </c>
      <c r="G1" s="1" t="inlineStr">
        <is>
          <t>a=6</t>
        </is>
      </c>
      <c r="H1" s="1" t="inlineStr">
        <is>
          <t>a=7</t>
        </is>
      </c>
      <c r="I1" s="1" t="inlineStr">
        <is>
          <t>a=8</t>
        </is>
      </c>
      <c r="J1" s="1" t="inlineStr">
        <is>
          <t>a=9</t>
        </is>
      </c>
      <c r="K1" s="1" t="inlineStr">
        <is>
          <t>a=10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>
        <f>IFERROR(_xlfn.BINOM.INV(MAX(0,cb!B2),MAX(0,MIN(1,m_st!B3)),RAND()),0)</f>
        <v/>
      </c>
      <c r="C3">
        <f>IFERROR(_xlfn.BINOM.INV(MAX(0,cb!C2),MAX(0,MIN(1,m_st!C3)),RAND()),0)</f>
        <v/>
      </c>
      <c r="D3">
        <f>IFERROR(_xlfn.BINOM.INV(MAX(0,cb!D2),MAX(0,MIN(1,m_st!D3)),RAND()),0)</f>
        <v/>
      </c>
      <c r="E3">
        <f>IFERROR(_xlfn.BINOM.INV(MAX(0,cb!E2),MAX(0,MIN(1,m_st!E3)),RAND()),0)</f>
        <v/>
      </c>
      <c r="F3">
        <f>IFERROR(_xlfn.BINOM.INV(MAX(0,cb!F2),MAX(0,MIN(1,m_st!F3)),RAND()),0)</f>
        <v/>
      </c>
      <c r="G3">
        <f>IFERROR(_xlfn.BINOM.INV(MAX(0,cb!G2),MAX(0,MIN(1,m_st!G3)),RAND()),0)</f>
        <v/>
      </c>
      <c r="H3">
        <f>IFERROR(_xlfn.BINOM.INV(MAX(0,cb!H2),MAX(0,MIN(1,m_st!H3)),RAND()),0)</f>
        <v/>
      </c>
      <c r="I3">
        <f>IFERROR(_xlfn.BINOM.INV(MAX(0,cb!I2),MAX(0,MIN(1,m_st!I3)),RAND()),0)</f>
        <v/>
      </c>
      <c r="J3">
        <f>IFERROR(_xlfn.BINOM.INV(MAX(0,cb!J2),MAX(0,MIN(1,m_st!J3)),RAND()),0)</f>
        <v/>
      </c>
      <c r="K3">
        <f>IFERROR(_xlfn.BINOM.INV(MAX(0,cb!K2),MAX(0,MIN(1,m_st!K3)),RAND()),0)</f>
        <v/>
      </c>
    </row>
    <row r="4">
      <c r="A4" t="n">
        <v>2</v>
      </c>
      <c r="B4">
        <f>IFERROR(_xlfn.BINOM.INV(MAX(0,cb!B3),MAX(0,MIN(1,m_st!B4)),RAND()),0)</f>
        <v/>
      </c>
      <c r="C4">
        <f>IFERROR(_xlfn.BINOM.INV(MAX(0,cb!C3),MAX(0,MIN(1,m_st!C4)),RAND()),0)</f>
        <v/>
      </c>
      <c r="D4">
        <f>IFERROR(_xlfn.BINOM.INV(MAX(0,cb!D3),MAX(0,MIN(1,m_st!D4)),RAND()),0)</f>
        <v/>
      </c>
      <c r="E4">
        <f>IFERROR(_xlfn.BINOM.INV(MAX(0,cb!E3),MAX(0,MIN(1,m_st!E4)),RAND()),0)</f>
        <v/>
      </c>
      <c r="F4">
        <f>IFERROR(_xlfn.BINOM.INV(MAX(0,cb!F3),MAX(0,MIN(1,m_st!F4)),RAND()),0)</f>
        <v/>
      </c>
      <c r="G4">
        <f>IFERROR(_xlfn.BINOM.INV(MAX(0,cb!G3),MAX(0,MIN(1,m_st!G4)),RAND()),0)</f>
        <v/>
      </c>
      <c r="H4">
        <f>IFERROR(_xlfn.BINOM.INV(MAX(0,cb!H3),MAX(0,MIN(1,m_st!H4)),RAND()),0)</f>
        <v/>
      </c>
      <c r="I4">
        <f>IFERROR(_xlfn.BINOM.INV(MAX(0,cb!I3),MAX(0,MIN(1,m_st!I4)),RAND()),0)</f>
        <v/>
      </c>
      <c r="J4">
        <f>IFERROR(_xlfn.BINOM.INV(MAX(0,cb!J3),MAX(0,MIN(1,m_st!J4)),RAND()),0)</f>
        <v/>
      </c>
      <c r="K4">
        <f>IFERROR(_xlfn.BINOM.INV(MAX(0,cb!K3),MAX(0,MIN(1,m_st!K4)),RAND()),0)</f>
        <v/>
      </c>
    </row>
    <row r="5">
      <c r="A5" t="n">
        <v>3</v>
      </c>
      <c r="B5">
        <f>IFERROR(_xlfn.BINOM.INV(MAX(0,cb!B4),MAX(0,MIN(1,m_st!B5)),RAND()),0)</f>
        <v/>
      </c>
      <c r="C5">
        <f>IFERROR(_xlfn.BINOM.INV(MAX(0,cb!C4),MAX(0,MIN(1,m_st!C5)),RAND()),0)</f>
        <v/>
      </c>
      <c r="D5">
        <f>IFERROR(_xlfn.BINOM.INV(MAX(0,cb!D4),MAX(0,MIN(1,m_st!D5)),RAND()),0)</f>
        <v/>
      </c>
      <c r="E5">
        <f>IFERROR(_xlfn.BINOM.INV(MAX(0,cb!E4),MAX(0,MIN(1,m_st!E5)),RAND()),0)</f>
        <v/>
      </c>
      <c r="F5">
        <f>IFERROR(_xlfn.BINOM.INV(MAX(0,cb!F4),MAX(0,MIN(1,m_st!F5)),RAND()),0)</f>
        <v/>
      </c>
      <c r="G5">
        <f>IFERROR(_xlfn.BINOM.INV(MAX(0,cb!G4),MAX(0,MIN(1,m_st!G5)),RAND()),0)</f>
        <v/>
      </c>
      <c r="H5">
        <f>IFERROR(_xlfn.BINOM.INV(MAX(0,cb!H4),MAX(0,MIN(1,m_st!H5)),RAND()),0)</f>
        <v/>
      </c>
      <c r="I5">
        <f>IFERROR(_xlfn.BINOM.INV(MAX(0,cb!I4),MAX(0,MIN(1,m_st!I5)),RAND()),0)</f>
        <v/>
      </c>
      <c r="J5">
        <f>IFERROR(_xlfn.BINOM.INV(MAX(0,cb!J4),MAX(0,MIN(1,m_st!J5)),RAND()),0)</f>
        <v/>
      </c>
      <c r="K5">
        <f>IFERROR(_xlfn.BINOM.INV(MAX(0,cb!K4),MAX(0,MIN(1,m_st!K5)),RAND()),0)</f>
        <v/>
      </c>
    </row>
    <row r="6">
      <c r="A6" t="n">
        <v>4</v>
      </c>
      <c r="B6">
        <f>IFERROR(_xlfn.BINOM.INV(MAX(0,cb!B5),MAX(0,MIN(1,m_st!B6)),RAND()),0)</f>
        <v/>
      </c>
      <c r="C6">
        <f>IFERROR(_xlfn.BINOM.INV(MAX(0,cb!C5),MAX(0,MIN(1,m_st!C6)),RAND()),0)</f>
        <v/>
      </c>
      <c r="D6">
        <f>IFERROR(_xlfn.BINOM.INV(MAX(0,cb!D5),MAX(0,MIN(1,m_st!D6)),RAND()),0)</f>
        <v/>
      </c>
      <c r="E6">
        <f>IFERROR(_xlfn.BINOM.INV(MAX(0,cb!E5),MAX(0,MIN(1,m_st!E6)),RAND()),0)</f>
        <v/>
      </c>
      <c r="F6">
        <f>IFERROR(_xlfn.BINOM.INV(MAX(0,cb!F5),MAX(0,MIN(1,m_st!F6)),RAND()),0)</f>
        <v/>
      </c>
      <c r="G6">
        <f>IFERROR(_xlfn.BINOM.INV(MAX(0,cb!G5),MAX(0,MIN(1,m_st!G6)),RAND()),0)</f>
        <v/>
      </c>
      <c r="H6">
        <f>IFERROR(_xlfn.BINOM.INV(MAX(0,cb!H5),MAX(0,MIN(1,m_st!H6)),RAND()),0)</f>
        <v/>
      </c>
      <c r="I6">
        <f>IFERROR(_xlfn.BINOM.INV(MAX(0,cb!I5),MAX(0,MIN(1,m_st!I6)),RAND()),0)</f>
        <v/>
      </c>
      <c r="J6">
        <f>IFERROR(_xlfn.BINOM.INV(MAX(0,cb!J5),MAX(0,MIN(1,m_st!J6)),RAND()),0)</f>
        <v/>
      </c>
      <c r="K6">
        <f>IFERROR(_xlfn.BINOM.INV(MAX(0,cb!K5),MAX(0,MIN(1,m_st!K6)),RAND()),0)</f>
        <v/>
      </c>
    </row>
    <row r="7">
      <c r="A7" t="n">
        <v>5</v>
      </c>
      <c r="B7">
        <f>IFERROR(_xlfn.BINOM.INV(MAX(0,cb!B6),MAX(0,MIN(1,m_st!B7)),RAND()),0)</f>
        <v/>
      </c>
      <c r="C7">
        <f>IFERROR(_xlfn.BINOM.INV(MAX(0,cb!C6),MAX(0,MIN(1,m_st!C7)),RAND()),0)</f>
        <v/>
      </c>
      <c r="D7">
        <f>IFERROR(_xlfn.BINOM.INV(MAX(0,cb!D6),MAX(0,MIN(1,m_st!D7)),RAND()),0)</f>
        <v/>
      </c>
      <c r="E7">
        <f>IFERROR(_xlfn.BINOM.INV(MAX(0,cb!E6),MAX(0,MIN(1,m_st!E7)),RAND()),0)</f>
        <v/>
      </c>
      <c r="F7">
        <f>IFERROR(_xlfn.BINOM.INV(MAX(0,cb!F6),MAX(0,MIN(1,m_st!F7)),RAND()),0)</f>
        <v/>
      </c>
      <c r="G7">
        <f>IFERROR(_xlfn.BINOM.INV(MAX(0,cb!G6),MAX(0,MIN(1,m_st!G7)),RAND()),0)</f>
        <v/>
      </c>
      <c r="H7">
        <f>IFERROR(_xlfn.BINOM.INV(MAX(0,cb!H6),MAX(0,MIN(1,m_st!H7)),RAND()),0)</f>
        <v/>
      </c>
      <c r="I7">
        <f>IFERROR(_xlfn.BINOM.INV(MAX(0,cb!I6),MAX(0,MIN(1,m_st!I7)),RAND()),0)</f>
        <v/>
      </c>
      <c r="J7">
        <f>IFERROR(_xlfn.BINOM.INV(MAX(0,cb!J6),MAX(0,MIN(1,m_st!J7)),RAND()),0)</f>
        <v/>
      </c>
      <c r="K7">
        <f>IFERROR(_xlfn.BINOM.INV(MAX(0,cb!K6),MAX(0,MIN(1,m_st!K7)),RAND()),0)</f>
        <v/>
      </c>
    </row>
    <row r="8">
      <c r="A8" t="n">
        <v>6</v>
      </c>
      <c r="B8">
        <f>IFERROR(_xlfn.BINOM.INV(MAX(0,cb!B7),MAX(0,MIN(1,m_st!B8)),RAND()),0)</f>
        <v/>
      </c>
      <c r="C8">
        <f>IFERROR(_xlfn.BINOM.INV(MAX(0,cb!C7),MAX(0,MIN(1,m_st!C8)),RAND()),0)</f>
        <v/>
      </c>
      <c r="D8">
        <f>IFERROR(_xlfn.BINOM.INV(MAX(0,cb!D7),MAX(0,MIN(1,m_st!D8)),RAND()),0)</f>
        <v/>
      </c>
      <c r="E8">
        <f>IFERROR(_xlfn.BINOM.INV(MAX(0,cb!E7),MAX(0,MIN(1,m_st!E8)),RAND()),0)</f>
        <v/>
      </c>
      <c r="F8">
        <f>IFERROR(_xlfn.BINOM.INV(MAX(0,cb!F7),MAX(0,MIN(1,m_st!F8)),RAND()),0)</f>
        <v/>
      </c>
      <c r="G8">
        <f>IFERROR(_xlfn.BINOM.INV(MAX(0,cb!G7),MAX(0,MIN(1,m_st!G8)),RAND()),0)</f>
        <v/>
      </c>
      <c r="H8">
        <f>IFERROR(_xlfn.BINOM.INV(MAX(0,cb!H7),MAX(0,MIN(1,m_st!H8)),RAND()),0)</f>
        <v/>
      </c>
      <c r="I8">
        <f>IFERROR(_xlfn.BINOM.INV(MAX(0,cb!I7),MAX(0,MIN(1,m_st!I8)),RAND()),0)</f>
        <v/>
      </c>
      <c r="J8">
        <f>IFERROR(_xlfn.BINOM.INV(MAX(0,cb!J7),MAX(0,MIN(1,m_st!J8)),RAND()),0)</f>
        <v/>
      </c>
      <c r="K8">
        <f>IFERROR(_xlfn.BINOM.INV(MAX(0,cb!K7),MAX(0,MIN(1,m_st!K8)),RAND()),0)</f>
        <v/>
      </c>
    </row>
    <row r="9">
      <c r="A9" t="n">
        <v>7</v>
      </c>
      <c r="B9">
        <f>IFERROR(_xlfn.BINOM.INV(MAX(0,cb!B8),MAX(0,MIN(1,m_st!B9)),RAND()),0)</f>
        <v/>
      </c>
      <c r="C9">
        <f>IFERROR(_xlfn.BINOM.INV(MAX(0,cb!C8),MAX(0,MIN(1,m_st!C9)),RAND()),0)</f>
        <v/>
      </c>
      <c r="D9">
        <f>IFERROR(_xlfn.BINOM.INV(MAX(0,cb!D8),MAX(0,MIN(1,m_st!D9)),RAND()),0)</f>
        <v/>
      </c>
      <c r="E9">
        <f>IFERROR(_xlfn.BINOM.INV(MAX(0,cb!E8),MAX(0,MIN(1,m_st!E9)),RAND()),0)</f>
        <v/>
      </c>
      <c r="F9">
        <f>IFERROR(_xlfn.BINOM.INV(MAX(0,cb!F8),MAX(0,MIN(1,m_st!F9)),RAND()),0)</f>
        <v/>
      </c>
      <c r="G9">
        <f>IFERROR(_xlfn.BINOM.INV(MAX(0,cb!G8),MAX(0,MIN(1,m_st!G9)),RAND()),0)</f>
        <v/>
      </c>
      <c r="H9">
        <f>IFERROR(_xlfn.BINOM.INV(MAX(0,cb!H8),MAX(0,MIN(1,m_st!H9)),RAND()),0)</f>
        <v/>
      </c>
      <c r="I9">
        <f>IFERROR(_xlfn.BINOM.INV(MAX(0,cb!I8),MAX(0,MIN(1,m_st!I9)),RAND()),0)</f>
        <v/>
      </c>
      <c r="J9">
        <f>IFERROR(_xlfn.BINOM.INV(MAX(0,cb!J8),MAX(0,MIN(1,m_st!J9)),RAND()),0)</f>
        <v/>
      </c>
      <c r="K9">
        <f>IFERROR(_xlfn.BINOM.INV(MAX(0,cb!K8),MAX(0,MIN(1,m_st!K9)),RAND()),0)</f>
        <v/>
      </c>
    </row>
    <row r="10">
      <c r="A10" t="n">
        <v>8</v>
      </c>
      <c r="B10">
        <f>IFERROR(_xlfn.BINOM.INV(MAX(0,cb!B9),MAX(0,MIN(1,m_st!B10)),RAND()),0)</f>
        <v/>
      </c>
      <c r="C10">
        <f>IFERROR(_xlfn.BINOM.INV(MAX(0,cb!C9),MAX(0,MIN(1,m_st!C10)),RAND()),0)</f>
        <v/>
      </c>
      <c r="D10">
        <f>IFERROR(_xlfn.BINOM.INV(MAX(0,cb!D9),MAX(0,MIN(1,m_st!D10)),RAND()),0)</f>
        <v/>
      </c>
      <c r="E10">
        <f>IFERROR(_xlfn.BINOM.INV(MAX(0,cb!E9),MAX(0,MIN(1,m_st!E10)),RAND()),0)</f>
        <v/>
      </c>
      <c r="F10">
        <f>IFERROR(_xlfn.BINOM.INV(MAX(0,cb!F9),MAX(0,MIN(1,m_st!F10)),RAND()),0)</f>
        <v/>
      </c>
      <c r="G10">
        <f>IFERROR(_xlfn.BINOM.INV(MAX(0,cb!G9),MAX(0,MIN(1,m_st!G10)),RAND()),0)</f>
        <v/>
      </c>
      <c r="H10">
        <f>IFERROR(_xlfn.BINOM.INV(MAX(0,cb!H9),MAX(0,MIN(1,m_st!H10)),RAND()),0)</f>
        <v/>
      </c>
      <c r="I10">
        <f>IFERROR(_xlfn.BINOM.INV(MAX(0,cb!I9),MAX(0,MIN(1,m_st!I10)),RAND()),0)</f>
        <v/>
      </c>
      <c r="J10">
        <f>IFERROR(_xlfn.BINOM.INV(MAX(0,cb!J9),MAX(0,MIN(1,m_st!J10)),RAND()),0)</f>
        <v/>
      </c>
      <c r="K10">
        <f>IFERROR(_xlfn.BINOM.INV(MAX(0,cb!K9),MAX(0,MIN(1,m_st!K10)),RAND()),0)</f>
        <v/>
      </c>
    </row>
    <row r="11">
      <c r="A11" t="n">
        <v>9</v>
      </c>
      <c r="B11">
        <f>IFERROR(_xlfn.BINOM.INV(MAX(0,cb!B10),MAX(0,MIN(1,m_st!B11)),RAND()),0)</f>
        <v/>
      </c>
      <c r="C11">
        <f>IFERROR(_xlfn.BINOM.INV(MAX(0,cb!C10),MAX(0,MIN(1,m_st!C11)),RAND()),0)</f>
        <v/>
      </c>
      <c r="D11">
        <f>IFERROR(_xlfn.BINOM.INV(MAX(0,cb!D10),MAX(0,MIN(1,m_st!D11)),RAND()),0)</f>
        <v/>
      </c>
      <c r="E11">
        <f>IFERROR(_xlfn.BINOM.INV(MAX(0,cb!E10),MAX(0,MIN(1,m_st!E11)),RAND()),0)</f>
        <v/>
      </c>
      <c r="F11">
        <f>IFERROR(_xlfn.BINOM.INV(MAX(0,cb!F10),MAX(0,MIN(1,m_st!F11)),RAND()),0)</f>
        <v/>
      </c>
      <c r="G11">
        <f>IFERROR(_xlfn.BINOM.INV(MAX(0,cb!G10),MAX(0,MIN(1,m_st!G11)),RAND()),0)</f>
        <v/>
      </c>
      <c r="H11">
        <f>IFERROR(_xlfn.BINOM.INV(MAX(0,cb!H10),MAX(0,MIN(1,m_st!H11)),RAND()),0)</f>
        <v/>
      </c>
      <c r="I11">
        <f>IFERROR(_xlfn.BINOM.INV(MAX(0,cb!I10),MAX(0,MIN(1,m_st!I11)),RAND()),0)</f>
        <v/>
      </c>
      <c r="J11">
        <f>IFERROR(_xlfn.BINOM.INV(MAX(0,cb!J10),MAX(0,MIN(1,m_st!J11)),RAND()),0)</f>
        <v/>
      </c>
      <c r="K11">
        <f>IFERROR(_xlfn.BINOM.INV(MAX(0,cb!K10),MAX(0,MIN(1,m_st!K11)),RAND()),0)</f>
        <v/>
      </c>
    </row>
    <row r="12">
      <c r="A12" t="n">
        <v>10</v>
      </c>
      <c r="B12">
        <f>IFERROR(_xlfn.BINOM.INV(MAX(0,cb!B11),MAX(0,MIN(1,m_st!B12)),RAND()),0)</f>
        <v/>
      </c>
      <c r="C12">
        <f>IFERROR(_xlfn.BINOM.INV(MAX(0,cb!C11),MAX(0,MIN(1,m_st!C12)),RAND()),0)</f>
        <v/>
      </c>
      <c r="D12">
        <f>IFERROR(_xlfn.BINOM.INV(MAX(0,cb!D11),MAX(0,MIN(1,m_st!D12)),RAND()),0)</f>
        <v/>
      </c>
      <c r="E12">
        <f>IFERROR(_xlfn.BINOM.INV(MAX(0,cb!E11),MAX(0,MIN(1,m_st!E12)),RAND()),0)</f>
        <v/>
      </c>
      <c r="F12">
        <f>IFERROR(_xlfn.BINOM.INV(MAX(0,cb!F11),MAX(0,MIN(1,m_st!F12)),RAND()),0)</f>
        <v/>
      </c>
      <c r="G12">
        <f>IFERROR(_xlfn.BINOM.INV(MAX(0,cb!G11),MAX(0,MIN(1,m_st!G12)),RAND()),0)</f>
        <v/>
      </c>
      <c r="H12">
        <f>IFERROR(_xlfn.BINOM.INV(MAX(0,cb!H11),MAX(0,MIN(1,m_st!H12)),RAND()),0)</f>
        <v/>
      </c>
      <c r="I12">
        <f>IFERROR(_xlfn.BINOM.INV(MAX(0,cb!I11),MAX(0,MIN(1,m_st!I12)),RAND()),0)</f>
        <v/>
      </c>
      <c r="J12">
        <f>IFERROR(_xlfn.BINOM.INV(MAX(0,cb!J11),MAX(0,MIN(1,m_st!J12)),RAND()),0)</f>
        <v/>
      </c>
      <c r="K12">
        <f>IFERROR(_xlfn.BINOM.INV(MAX(0,cb!K11),MAX(0,MIN(1,m_st!K12)),RAND()),0)</f>
        <v/>
      </c>
    </row>
    <row r="13">
      <c r="A13" t="n">
        <v>11</v>
      </c>
      <c r="B13">
        <f>IFERROR(_xlfn.BINOM.INV(MAX(0,cb!B12),MAX(0,MIN(1,m_st!B13)),RAND()),0)</f>
        <v/>
      </c>
      <c r="C13">
        <f>IFERROR(_xlfn.BINOM.INV(MAX(0,cb!C12),MAX(0,MIN(1,m_st!C13)),RAND()),0)</f>
        <v/>
      </c>
      <c r="D13">
        <f>IFERROR(_xlfn.BINOM.INV(MAX(0,cb!D12),MAX(0,MIN(1,m_st!D13)),RAND()),0)</f>
        <v/>
      </c>
      <c r="E13">
        <f>IFERROR(_xlfn.BINOM.INV(MAX(0,cb!E12),MAX(0,MIN(1,m_st!E13)),RAND()),0)</f>
        <v/>
      </c>
      <c r="F13">
        <f>IFERROR(_xlfn.BINOM.INV(MAX(0,cb!F12),MAX(0,MIN(1,m_st!F13)),RAND()),0)</f>
        <v/>
      </c>
      <c r="G13">
        <f>IFERROR(_xlfn.BINOM.INV(MAX(0,cb!G12),MAX(0,MIN(1,m_st!G13)),RAND()),0)</f>
        <v/>
      </c>
      <c r="H13">
        <f>IFERROR(_xlfn.BINOM.INV(MAX(0,cb!H12),MAX(0,MIN(1,m_st!H13)),RAND()),0)</f>
        <v/>
      </c>
      <c r="I13">
        <f>IFERROR(_xlfn.BINOM.INV(MAX(0,cb!I12),MAX(0,MIN(1,m_st!I13)),RAND()),0)</f>
        <v/>
      </c>
      <c r="J13">
        <f>IFERROR(_xlfn.BINOM.INV(MAX(0,cb!J12),MAX(0,MIN(1,m_st!J13)),RAND()),0)</f>
        <v/>
      </c>
      <c r="K13">
        <f>IFERROR(_xlfn.BINOM.INV(MAX(0,cb!K12),MAX(0,MIN(1,m_st!K13)),RAND()),0)</f>
        <v/>
      </c>
    </row>
    <row r="14">
      <c r="A14" t="n">
        <v>12</v>
      </c>
      <c r="B14">
        <f>IFERROR(_xlfn.BINOM.INV(MAX(0,cb!B13),MAX(0,MIN(1,m_st!B14)),RAND()),0)</f>
        <v/>
      </c>
      <c r="C14">
        <f>IFERROR(_xlfn.BINOM.INV(MAX(0,cb!C13),MAX(0,MIN(1,m_st!C14)),RAND()),0)</f>
        <v/>
      </c>
      <c r="D14">
        <f>IFERROR(_xlfn.BINOM.INV(MAX(0,cb!D13),MAX(0,MIN(1,m_st!D14)),RAND()),0)</f>
        <v/>
      </c>
      <c r="E14">
        <f>IFERROR(_xlfn.BINOM.INV(MAX(0,cb!E13),MAX(0,MIN(1,m_st!E14)),RAND()),0)</f>
        <v/>
      </c>
      <c r="F14">
        <f>IFERROR(_xlfn.BINOM.INV(MAX(0,cb!F13),MAX(0,MIN(1,m_st!F14)),RAND()),0)</f>
        <v/>
      </c>
      <c r="G14">
        <f>IFERROR(_xlfn.BINOM.INV(MAX(0,cb!G13),MAX(0,MIN(1,m_st!G14)),RAND()),0)</f>
        <v/>
      </c>
      <c r="H14">
        <f>IFERROR(_xlfn.BINOM.INV(MAX(0,cb!H13),MAX(0,MIN(1,m_st!H14)),RAND()),0)</f>
        <v/>
      </c>
      <c r="I14">
        <f>IFERROR(_xlfn.BINOM.INV(MAX(0,cb!I13),MAX(0,MIN(1,m_st!I14)),RAND()),0)</f>
        <v/>
      </c>
      <c r="J14">
        <f>IFERROR(_xlfn.BINOM.INV(MAX(0,cb!J13),MAX(0,MIN(1,m_st!J14)),RAND()),0)</f>
        <v/>
      </c>
      <c r="K14">
        <f>IFERROR(_xlfn.BINOM.INV(MAX(0,cb!K13),MAX(0,MIN(1,m_st!K14)),RAND()),0)</f>
        <v/>
      </c>
    </row>
    <row r="15">
      <c r="A15" t="n">
        <v>13</v>
      </c>
      <c r="B15">
        <f>IFERROR(_xlfn.BINOM.INV(MAX(0,cb!B14),MAX(0,MIN(1,m_st!B15)),RAND()),0)</f>
        <v/>
      </c>
      <c r="C15">
        <f>IFERROR(_xlfn.BINOM.INV(MAX(0,cb!C14),MAX(0,MIN(1,m_st!C15)),RAND()),0)</f>
        <v/>
      </c>
      <c r="D15">
        <f>IFERROR(_xlfn.BINOM.INV(MAX(0,cb!D14),MAX(0,MIN(1,m_st!D15)),RAND()),0)</f>
        <v/>
      </c>
      <c r="E15">
        <f>IFERROR(_xlfn.BINOM.INV(MAX(0,cb!E14),MAX(0,MIN(1,m_st!E15)),RAND()),0)</f>
        <v/>
      </c>
      <c r="F15">
        <f>IFERROR(_xlfn.BINOM.INV(MAX(0,cb!F14),MAX(0,MIN(1,m_st!F15)),RAND()),0)</f>
        <v/>
      </c>
      <c r="G15">
        <f>IFERROR(_xlfn.BINOM.INV(MAX(0,cb!G14),MAX(0,MIN(1,m_st!G15)),RAND()),0)</f>
        <v/>
      </c>
      <c r="H15">
        <f>IFERROR(_xlfn.BINOM.INV(MAX(0,cb!H14),MAX(0,MIN(1,m_st!H15)),RAND()),0)</f>
        <v/>
      </c>
      <c r="I15">
        <f>IFERROR(_xlfn.BINOM.INV(MAX(0,cb!I14),MAX(0,MIN(1,m_st!I15)),RAND()),0)</f>
        <v/>
      </c>
      <c r="J15">
        <f>IFERROR(_xlfn.BINOM.INV(MAX(0,cb!J14),MAX(0,MIN(1,m_st!J15)),RAND()),0)</f>
        <v/>
      </c>
      <c r="K15">
        <f>IFERROR(_xlfn.BINOM.INV(MAX(0,cb!K14),MAX(0,MIN(1,m_st!K15)),RAND()),0)</f>
        <v/>
      </c>
    </row>
    <row r="16">
      <c r="A16" t="n">
        <v>14</v>
      </c>
      <c r="B16">
        <f>IFERROR(_xlfn.BINOM.INV(MAX(0,cb!B15),MAX(0,MIN(1,m_st!B16)),RAND()),0)</f>
        <v/>
      </c>
      <c r="C16">
        <f>IFERROR(_xlfn.BINOM.INV(MAX(0,cb!C15),MAX(0,MIN(1,m_st!C16)),RAND()),0)</f>
        <v/>
      </c>
      <c r="D16">
        <f>IFERROR(_xlfn.BINOM.INV(MAX(0,cb!D15),MAX(0,MIN(1,m_st!D16)),RAND()),0)</f>
        <v/>
      </c>
      <c r="E16">
        <f>IFERROR(_xlfn.BINOM.INV(MAX(0,cb!E15),MAX(0,MIN(1,m_st!E16)),RAND()),0)</f>
        <v/>
      </c>
      <c r="F16">
        <f>IFERROR(_xlfn.BINOM.INV(MAX(0,cb!F15),MAX(0,MIN(1,m_st!F16)),RAND()),0)</f>
        <v/>
      </c>
      <c r="G16">
        <f>IFERROR(_xlfn.BINOM.INV(MAX(0,cb!G15),MAX(0,MIN(1,m_st!G16)),RAND()),0)</f>
        <v/>
      </c>
      <c r="H16">
        <f>IFERROR(_xlfn.BINOM.INV(MAX(0,cb!H15),MAX(0,MIN(1,m_st!H16)),RAND()),0)</f>
        <v/>
      </c>
      <c r="I16">
        <f>IFERROR(_xlfn.BINOM.INV(MAX(0,cb!I15),MAX(0,MIN(1,m_st!I16)),RAND()),0)</f>
        <v/>
      </c>
      <c r="J16">
        <f>IFERROR(_xlfn.BINOM.INV(MAX(0,cb!J15),MAX(0,MIN(1,m_st!J16)),RAND()),0)</f>
        <v/>
      </c>
      <c r="K16">
        <f>IFERROR(_xlfn.BINOM.INV(MAX(0,cb!K15),MAX(0,MIN(1,m_st!K16)),RAND()),0)</f>
        <v/>
      </c>
    </row>
    <row r="17">
      <c r="A17" t="n">
        <v>15</v>
      </c>
      <c r="B17">
        <f>IFERROR(_xlfn.BINOM.INV(MAX(0,cb!B16),MAX(0,MIN(1,m_st!B17)),RAND()),0)</f>
        <v/>
      </c>
      <c r="C17">
        <f>IFERROR(_xlfn.BINOM.INV(MAX(0,cb!C16),MAX(0,MIN(1,m_st!C17)),RAND()),0)</f>
        <v/>
      </c>
      <c r="D17">
        <f>IFERROR(_xlfn.BINOM.INV(MAX(0,cb!D16),MAX(0,MIN(1,m_st!D17)),RAND()),0)</f>
        <v/>
      </c>
      <c r="E17">
        <f>IFERROR(_xlfn.BINOM.INV(MAX(0,cb!E16),MAX(0,MIN(1,m_st!E17)),RAND()),0)</f>
        <v/>
      </c>
      <c r="F17">
        <f>IFERROR(_xlfn.BINOM.INV(MAX(0,cb!F16),MAX(0,MIN(1,m_st!F17)),RAND()),0)</f>
        <v/>
      </c>
      <c r="G17">
        <f>IFERROR(_xlfn.BINOM.INV(MAX(0,cb!G16),MAX(0,MIN(1,m_st!G17)),RAND()),0)</f>
        <v/>
      </c>
      <c r="H17">
        <f>IFERROR(_xlfn.BINOM.INV(MAX(0,cb!H16),MAX(0,MIN(1,m_st!H17)),RAND()),0)</f>
        <v/>
      </c>
      <c r="I17">
        <f>IFERROR(_xlfn.BINOM.INV(MAX(0,cb!I16),MAX(0,MIN(1,m_st!I17)),RAND()),0)</f>
        <v/>
      </c>
      <c r="J17">
        <f>IFERROR(_xlfn.BINOM.INV(MAX(0,cb!J16),MAX(0,MIN(1,m_st!J17)),RAND()),0)</f>
        <v/>
      </c>
      <c r="K17">
        <f>IFERROR(_xlfn.BINOM.INV(MAX(0,cb!K16),MAX(0,MIN(1,m_st!K17)),RAND()),0)</f>
        <v/>
      </c>
    </row>
    <row r="18">
      <c r="A18" t="n">
        <v>16</v>
      </c>
      <c r="B18">
        <f>IFERROR(_xlfn.BINOM.INV(MAX(0,cb!B17),MAX(0,MIN(1,m_st!B18)),RAND()),0)</f>
        <v/>
      </c>
      <c r="C18">
        <f>IFERROR(_xlfn.BINOM.INV(MAX(0,cb!C17),MAX(0,MIN(1,m_st!C18)),RAND()),0)</f>
        <v/>
      </c>
      <c r="D18">
        <f>IFERROR(_xlfn.BINOM.INV(MAX(0,cb!D17),MAX(0,MIN(1,m_st!D18)),RAND()),0)</f>
        <v/>
      </c>
      <c r="E18">
        <f>IFERROR(_xlfn.BINOM.INV(MAX(0,cb!E17),MAX(0,MIN(1,m_st!E18)),RAND()),0)</f>
        <v/>
      </c>
      <c r="F18">
        <f>IFERROR(_xlfn.BINOM.INV(MAX(0,cb!F17),MAX(0,MIN(1,m_st!F18)),RAND()),0)</f>
        <v/>
      </c>
      <c r="G18">
        <f>IFERROR(_xlfn.BINOM.INV(MAX(0,cb!G17),MAX(0,MIN(1,m_st!G18)),RAND()),0)</f>
        <v/>
      </c>
      <c r="H18">
        <f>IFERROR(_xlfn.BINOM.INV(MAX(0,cb!H17),MAX(0,MIN(1,m_st!H18)),RAND()),0)</f>
        <v/>
      </c>
      <c r="I18">
        <f>IFERROR(_xlfn.BINOM.INV(MAX(0,cb!I17),MAX(0,MIN(1,m_st!I18)),RAND()),0)</f>
        <v/>
      </c>
      <c r="J18">
        <f>IFERROR(_xlfn.BINOM.INV(MAX(0,cb!J17),MAX(0,MIN(1,m_st!J18)),RAND()),0)</f>
        <v/>
      </c>
      <c r="K18">
        <f>IFERROR(_xlfn.BINOM.INV(MAX(0,cb!K17),MAX(0,MIN(1,m_st!K18)),RAND()),0)</f>
        <v/>
      </c>
    </row>
    <row r="19">
      <c r="A19" t="n">
        <v>17</v>
      </c>
      <c r="B19">
        <f>IFERROR(_xlfn.BINOM.INV(MAX(0,cb!B18),MAX(0,MIN(1,m_st!B19)),RAND()),0)</f>
        <v/>
      </c>
      <c r="C19">
        <f>IFERROR(_xlfn.BINOM.INV(MAX(0,cb!C18),MAX(0,MIN(1,m_st!C19)),RAND()),0)</f>
        <v/>
      </c>
      <c r="D19">
        <f>IFERROR(_xlfn.BINOM.INV(MAX(0,cb!D18),MAX(0,MIN(1,m_st!D19)),RAND()),0)</f>
        <v/>
      </c>
      <c r="E19">
        <f>IFERROR(_xlfn.BINOM.INV(MAX(0,cb!E18),MAX(0,MIN(1,m_st!E19)),RAND()),0)</f>
        <v/>
      </c>
      <c r="F19">
        <f>IFERROR(_xlfn.BINOM.INV(MAX(0,cb!F18),MAX(0,MIN(1,m_st!F19)),RAND()),0)</f>
        <v/>
      </c>
      <c r="G19">
        <f>IFERROR(_xlfn.BINOM.INV(MAX(0,cb!G18),MAX(0,MIN(1,m_st!G19)),RAND()),0)</f>
        <v/>
      </c>
      <c r="H19">
        <f>IFERROR(_xlfn.BINOM.INV(MAX(0,cb!H18),MAX(0,MIN(1,m_st!H19)),RAND()),0)</f>
        <v/>
      </c>
      <c r="I19">
        <f>IFERROR(_xlfn.BINOM.INV(MAX(0,cb!I18),MAX(0,MIN(1,m_st!I19)),RAND()),0)</f>
        <v/>
      </c>
      <c r="J19">
        <f>IFERROR(_xlfn.BINOM.INV(MAX(0,cb!J18),MAX(0,MIN(1,m_st!J19)),RAND()),0)</f>
        <v/>
      </c>
      <c r="K19">
        <f>IFERROR(_xlfn.BINOM.INV(MAX(0,cb!K18),MAX(0,MIN(1,m_st!K19)),RAND()),0)</f>
        <v/>
      </c>
    </row>
    <row r="20">
      <c r="A20" t="n">
        <v>18</v>
      </c>
      <c r="B20">
        <f>IFERROR(_xlfn.BINOM.INV(MAX(0,cb!B19),MAX(0,MIN(1,m_st!B20)),RAND()),0)</f>
        <v/>
      </c>
      <c r="C20">
        <f>IFERROR(_xlfn.BINOM.INV(MAX(0,cb!C19),MAX(0,MIN(1,m_st!C20)),RAND()),0)</f>
        <v/>
      </c>
      <c r="D20">
        <f>IFERROR(_xlfn.BINOM.INV(MAX(0,cb!D19),MAX(0,MIN(1,m_st!D20)),RAND()),0)</f>
        <v/>
      </c>
      <c r="E20">
        <f>IFERROR(_xlfn.BINOM.INV(MAX(0,cb!E19),MAX(0,MIN(1,m_st!E20)),RAND()),0)</f>
        <v/>
      </c>
      <c r="F20">
        <f>IFERROR(_xlfn.BINOM.INV(MAX(0,cb!F19),MAX(0,MIN(1,m_st!F20)),RAND()),0)</f>
        <v/>
      </c>
      <c r="G20">
        <f>IFERROR(_xlfn.BINOM.INV(MAX(0,cb!G19),MAX(0,MIN(1,m_st!G20)),RAND()),0)</f>
        <v/>
      </c>
      <c r="H20">
        <f>IFERROR(_xlfn.BINOM.INV(MAX(0,cb!H19),MAX(0,MIN(1,m_st!H20)),RAND()),0)</f>
        <v/>
      </c>
      <c r="I20">
        <f>IFERROR(_xlfn.BINOM.INV(MAX(0,cb!I19),MAX(0,MIN(1,m_st!I20)),RAND()),0)</f>
        <v/>
      </c>
      <c r="J20">
        <f>IFERROR(_xlfn.BINOM.INV(MAX(0,cb!J19),MAX(0,MIN(1,m_st!J20)),RAND()),0)</f>
        <v/>
      </c>
      <c r="K20">
        <f>IFERROR(_xlfn.BINOM.INV(MAX(0,cb!K19),MAX(0,MIN(1,m_st!K20)),RAND()),0)</f>
        <v/>
      </c>
    </row>
    <row r="21">
      <c r="A21" t="n">
        <v>19</v>
      </c>
      <c r="B21">
        <f>IFERROR(_xlfn.BINOM.INV(MAX(0,cb!B20),MAX(0,MIN(1,m_st!B21)),RAND()),0)</f>
        <v/>
      </c>
      <c r="C21">
        <f>IFERROR(_xlfn.BINOM.INV(MAX(0,cb!C20),MAX(0,MIN(1,m_st!C21)),RAND()),0)</f>
        <v/>
      </c>
      <c r="D21">
        <f>IFERROR(_xlfn.BINOM.INV(MAX(0,cb!D20),MAX(0,MIN(1,m_st!D21)),RAND()),0)</f>
        <v/>
      </c>
      <c r="E21">
        <f>IFERROR(_xlfn.BINOM.INV(MAX(0,cb!E20),MAX(0,MIN(1,m_st!E21)),RAND()),0)</f>
        <v/>
      </c>
      <c r="F21">
        <f>IFERROR(_xlfn.BINOM.INV(MAX(0,cb!F20),MAX(0,MIN(1,m_st!F21)),RAND()),0)</f>
        <v/>
      </c>
      <c r="G21">
        <f>IFERROR(_xlfn.BINOM.INV(MAX(0,cb!G20),MAX(0,MIN(1,m_st!G21)),RAND()),0)</f>
        <v/>
      </c>
      <c r="H21">
        <f>IFERROR(_xlfn.BINOM.INV(MAX(0,cb!H20),MAX(0,MIN(1,m_st!H21)),RAND()),0)</f>
        <v/>
      </c>
      <c r="I21">
        <f>IFERROR(_xlfn.BINOM.INV(MAX(0,cb!I20),MAX(0,MIN(1,m_st!I21)),RAND()),0)</f>
        <v/>
      </c>
      <c r="J21">
        <f>IFERROR(_xlfn.BINOM.INV(MAX(0,cb!J20),MAX(0,MIN(1,m_st!J21)),RAND()),0)</f>
        <v/>
      </c>
      <c r="K21">
        <f>IFERROR(_xlfn.BINOM.INV(MAX(0,cb!K20),MAX(0,MIN(1,m_st!K21)),RAND()),0)</f>
        <v/>
      </c>
    </row>
    <row r="22">
      <c r="A22" t="n">
        <v>20</v>
      </c>
      <c r="B22">
        <f>IFERROR(_xlfn.BINOM.INV(MAX(0,cb!B21),MAX(0,MIN(1,m_st!B22)),RAND()),0)</f>
        <v/>
      </c>
      <c r="C22">
        <f>IFERROR(_xlfn.BINOM.INV(MAX(0,cb!C21),MAX(0,MIN(1,m_st!C22)),RAND()),0)</f>
        <v/>
      </c>
      <c r="D22">
        <f>IFERROR(_xlfn.BINOM.INV(MAX(0,cb!D21),MAX(0,MIN(1,m_st!D22)),RAND()),0)</f>
        <v/>
      </c>
      <c r="E22">
        <f>IFERROR(_xlfn.BINOM.INV(MAX(0,cb!E21),MAX(0,MIN(1,m_st!E22)),RAND()),0)</f>
        <v/>
      </c>
      <c r="F22">
        <f>IFERROR(_xlfn.BINOM.INV(MAX(0,cb!F21),MAX(0,MIN(1,m_st!F22)),RAND()),0)</f>
        <v/>
      </c>
      <c r="G22">
        <f>IFERROR(_xlfn.BINOM.INV(MAX(0,cb!G21),MAX(0,MIN(1,m_st!G22)),RAND()),0)</f>
        <v/>
      </c>
      <c r="H22">
        <f>IFERROR(_xlfn.BINOM.INV(MAX(0,cb!H21),MAX(0,MIN(1,m_st!H22)),RAND()),0)</f>
        <v/>
      </c>
      <c r="I22">
        <f>IFERROR(_xlfn.BINOM.INV(MAX(0,cb!I21),MAX(0,MIN(1,m_st!I22)),RAND()),0)</f>
        <v/>
      </c>
      <c r="J22">
        <f>IFERROR(_xlfn.BINOM.INV(MAX(0,cb!J21),MAX(0,MIN(1,m_st!J22)),RAND()),0)</f>
        <v/>
      </c>
      <c r="K22">
        <f>IFERROR(_xlfn.BINOM.INV(MAX(0,cb!K21),MAX(0,MIN(1,m_st!K22)),RAND()),0)</f>
        <v/>
      </c>
    </row>
    <row r="23">
      <c r="A23" t="n">
        <v>21</v>
      </c>
      <c r="B23">
        <f>IFERROR(_xlfn.BINOM.INV(MAX(0,cb!B22),MAX(0,MIN(1,m_st!B23)),RAND()),0)</f>
        <v/>
      </c>
      <c r="C23">
        <f>IFERROR(_xlfn.BINOM.INV(MAX(0,cb!C22),MAX(0,MIN(1,m_st!C23)),RAND()),0)</f>
        <v/>
      </c>
      <c r="D23">
        <f>IFERROR(_xlfn.BINOM.INV(MAX(0,cb!D22),MAX(0,MIN(1,m_st!D23)),RAND()),0)</f>
        <v/>
      </c>
      <c r="E23">
        <f>IFERROR(_xlfn.BINOM.INV(MAX(0,cb!E22),MAX(0,MIN(1,m_st!E23)),RAND()),0)</f>
        <v/>
      </c>
      <c r="F23">
        <f>IFERROR(_xlfn.BINOM.INV(MAX(0,cb!F22),MAX(0,MIN(1,m_st!F23)),RAND()),0)</f>
        <v/>
      </c>
      <c r="G23">
        <f>IFERROR(_xlfn.BINOM.INV(MAX(0,cb!G22),MAX(0,MIN(1,m_st!G23)),RAND()),0)</f>
        <v/>
      </c>
      <c r="H23">
        <f>IFERROR(_xlfn.BINOM.INV(MAX(0,cb!H22),MAX(0,MIN(1,m_st!H23)),RAND()),0)</f>
        <v/>
      </c>
      <c r="I23">
        <f>IFERROR(_xlfn.BINOM.INV(MAX(0,cb!I22),MAX(0,MIN(1,m_st!I23)),RAND()),0)</f>
        <v/>
      </c>
      <c r="J23">
        <f>IFERROR(_xlfn.BINOM.INV(MAX(0,cb!J22),MAX(0,MIN(1,m_st!J23)),RAND()),0)</f>
        <v/>
      </c>
      <c r="K23">
        <f>IFERROR(_xlfn.BINOM.INV(MAX(0,cb!K22),MAX(0,MIN(1,m_st!K23)),RAND()),0)</f>
        <v/>
      </c>
    </row>
    <row r="24">
      <c r="A24" t="n">
        <v>22</v>
      </c>
      <c r="B24">
        <f>IFERROR(_xlfn.BINOM.INV(MAX(0,cb!B23),MAX(0,MIN(1,m_st!B24)),RAND()),0)</f>
        <v/>
      </c>
      <c r="C24">
        <f>IFERROR(_xlfn.BINOM.INV(MAX(0,cb!C23),MAX(0,MIN(1,m_st!C24)),RAND()),0)</f>
        <v/>
      </c>
      <c r="D24">
        <f>IFERROR(_xlfn.BINOM.INV(MAX(0,cb!D23),MAX(0,MIN(1,m_st!D24)),RAND()),0)</f>
        <v/>
      </c>
      <c r="E24">
        <f>IFERROR(_xlfn.BINOM.INV(MAX(0,cb!E23),MAX(0,MIN(1,m_st!E24)),RAND()),0)</f>
        <v/>
      </c>
      <c r="F24">
        <f>IFERROR(_xlfn.BINOM.INV(MAX(0,cb!F23),MAX(0,MIN(1,m_st!F24)),RAND()),0)</f>
        <v/>
      </c>
      <c r="G24">
        <f>IFERROR(_xlfn.BINOM.INV(MAX(0,cb!G23),MAX(0,MIN(1,m_st!G24)),RAND()),0)</f>
        <v/>
      </c>
      <c r="H24">
        <f>IFERROR(_xlfn.BINOM.INV(MAX(0,cb!H23),MAX(0,MIN(1,m_st!H24)),RAND()),0)</f>
        <v/>
      </c>
      <c r="I24">
        <f>IFERROR(_xlfn.BINOM.INV(MAX(0,cb!I23),MAX(0,MIN(1,m_st!I24)),RAND()),0)</f>
        <v/>
      </c>
      <c r="J24">
        <f>IFERROR(_xlfn.BINOM.INV(MAX(0,cb!J23),MAX(0,MIN(1,m_st!J24)),RAND()),0)</f>
        <v/>
      </c>
      <c r="K24">
        <f>IFERROR(_xlfn.BINOM.INV(MAX(0,cb!K23),MAX(0,MIN(1,m_st!K24)),RAND()),0)</f>
        <v/>
      </c>
    </row>
    <row r="25">
      <c r="A25" t="n">
        <v>23</v>
      </c>
      <c r="B25">
        <f>IFERROR(_xlfn.BINOM.INV(MAX(0,cb!B24),MAX(0,MIN(1,m_st!B25)),RAND()),0)</f>
        <v/>
      </c>
      <c r="C25">
        <f>IFERROR(_xlfn.BINOM.INV(MAX(0,cb!C24),MAX(0,MIN(1,m_st!C25)),RAND()),0)</f>
        <v/>
      </c>
      <c r="D25">
        <f>IFERROR(_xlfn.BINOM.INV(MAX(0,cb!D24),MAX(0,MIN(1,m_st!D25)),RAND()),0)</f>
        <v/>
      </c>
      <c r="E25">
        <f>IFERROR(_xlfn.BINOM.INV(MAX(0,cb!E24),MAX(0,MIN(1,m_st!E25)),RAND()),0)</f>
        <v/>
      </c>
      <c r="F25">
        <f>IFERROR(_xlfn.BINOM.INV(MAX(0,cb!F24),MAX(0,MIN(1,m_st!F25)),RAND()),0)</f>
        <v/>
      </c>
      <c r="G25">
        <f>IFERROR(_xlfn.BINOM.INV(MAX(0,cb!G24),MAX(0,MIN(1,m_st!G25)),RAND()),0)</f>
        <v/>
      </c>
      <c r="H25">
        <f>IFERROR(_xlfn.BINOM.INV(MAX(0,cb!H24),MAX(0,MIN(1,m_st!H25)),RAND()),0)</f>
        <v/>
      </c>
      <c r="I25">
        <f>IFERROR(_xlfn.BINOM.INV(MAX(0,cb!I24),MAX(0,MIN(1,m_st!I25)),RAND()),0)</f>
        <v/>
      </c>
      <c r="J25">
        <f>IFERROR(_xlfn.BINOM.INV(MAX(0,cb!J24),MAX(0,MIN(1,m_st!J25)),RAND()),0)</f>
        <v/>
      </c>
      <c r="K25">
        <f>IFERROR(_xlfn.BINOM.INV(MAX(0,cb!K24),MAX(0,MIN(1,m_st!K25)),RAND()),0)</f>
        <v/>
      </c>
    </row>
    <row r="26">
      <c r="A26" t="n">
        <v>24</v>
      </c>
      <c r="B26">
        <f>IFERROR(_xlfn.BINOM.INV(MAX(0,cb!B25),MAX(0,MIN(1,m_st!B26)),RAND()),0)</f>
        <v/>
      </c>
      <c r="C26">
        <f>IFERROR(_xlfn.BINOM.INV(MAX(0,cb!C25),MAX(0,MIN(1,m_st!C26)),RAND()),0)</f>
        <v/>
      </c>
      <c r="D26">
        <f>IFERROR(_xlfn.BINOM.INV(MAX(0,cb!D25),MAX(0,MIN(1,m_st!D26)),RAND()),0)</f>
        <v/>
      </c>
      <c r="E26">
        <f>IFERROR(_xlfn.BINOM.INV(MAX(0,cb!E25),MAX(0,MIN(1,m_st!E26)),RAND()),0)</f>
        <v/>
      </c>
      <c r="F26">
        <f>IFERROR(_xlfn.BINOM.INV(MAX(0,cb!F25),MAX(0,MIN(1,m_st!F26)),RAND()),0)</f>
        <v/>
      </c>
      <c r="G26">
        <f>IFERROR(_xlfn.BINOM.INV(MAX(0,cb!G25),MAX(0,MIN(1,m_st!G26)),RAND()),0)</f>
        <v/>
      </c>
      <c r="H26">
        <f>IFERROR(_xlfn.BINOM.INV(MAX(0,cb!H25),MAX(0,MIN(1,m_st!H26)),RAND()),0)</f>
        <v/>
      </c>
      <c r="I26">
        <f>IFERROR(_xlfn.BINOM.INV(MAX(0,cb!I25),MAX(0,MIN(1,m_st!I26)),RAND()),0)</f>
        <v/>
      </c>
      <c r="J26">
        <f>IFERROR(_xlfn.BINOM.INV(MAX(0,cb!J25),MAX(0,MIN(1,m_st!J26)),RAND()),0)</f>
        <v/>
      </c>
      <c r="K26">
        <f>IFERROR(_xlfn.BINOM.INV(MAX(0,cb!K25),MAX(0,MIN(1,m_st!K26)),RAND()),0)</f>
        <v/>
      </c>
    </row>
    <row r="27">
      <c r="A27" t="n">
        <v>25</v>
      </c>
      <c r="B27">
        <f>IFERROR(_xlfn.BINOM.INV(MAX(0,cb!B26),MAX(0,MIN(1,m_st!B27)),RAND()),0)</f>
        <v/>
      </c>
      <c r="C27">
        <f>IFERROR(_xlfn.BINOM.INV(MAX(0,cb!C26),MAX(0,MIN(1,m_st!C27)),RAND()),0)</f>
        <v/>
      </c>
      <c r="D27">
        <f>IFERROR(_xlfn.BINOM.INV(MAX(0,cb!D26),MAX(0,MIN(1,m_st!D27)),RAND()),0)</f>
        <v/>
      </c>
      <c r="E27">
        <f>IFERROR(_xlfn.BINOM.INV(MAX(0,cb!E26),MAX(0,MIN(1,m_st!E27)),RAND()),0)</f>
        <v/>
      </c>
      <c r="F27">
        <f>IFERROR(_xlfn.BINOM.INV(MAX(0,cb!F26),MAX(0,MIN(1,m_st!F27)),RAND()),0)</f>
        <v/>
      </c>
      <c r="G27">
        <f>IFERROR(_xlfn.BINOM.INV(MAX(0,cb!G26),MAX(0,MIN(1,m_st!G27)),RAND()),0)</f>
        <v/>
      </c>
      <c r="H27">
        <f>IFERROR(_xlfn.BINOM.INV(MAX(0,cb!H26),MAX(0,MIN(1,m_st!H27)),RAND()),0)</f>
        <v/>
      </c>
      <c r="I27">
        <f>IFERROR(_xlfn.BINOM.INV(MAX(0,cb!I26),MAX(0,MIN(1,m_st!I27)),RAND()),0)</f>
        <v/>
      </c>
      <c r="J27">
        <f>IFERROR(_xlfn.BINOM.INV(MAX(0,cb!J26),MAX(0,MIN(1,m_st!J27)),RAND()),0)</f>
        <v/>
      </c>
      <c r="K27">
        <f>IFERROR(_xlfn.BINOM.INV(MAX(0,cb!K26),MAX(0,MIN(1,m_st!K27)),RAND()),0)</f>
        <v/>
      </c>
    </row>
    <row r="28">
      <c r="A28" t="n">
        <v>26</v>
      </c>
      <c r="B28">
        <f>IFERROR(_xlfn.BINOM.INV(MAX(0,cb!B27),MAX(0,MIN(1,m_st!B28)),RAND()),0)</f>
        <v/>
      </c>
      <c r="C28">
        <f>IFERROR(_xlfn.BINOM.INV(MAX(0,cb!C27),MAX(0,MIN(1,m_st!C28)),RAND()),0)</f>
        <v/>
      </c>
      <c r="D28">
        <f>IFERROR(_xlfn.BINOM.INV(MAX(0,cb!D27),MAX(0,MIN(1,m_st!D28)),RAND()),0)</f>
        <v/>
      </c>
      <c r="E28">
        <f>IFERROR(_xlfn.BINOM.INV(MAX(0,cb!E27),MAX(0,MIN(1,m_st!E28)),RAND()),0)</f>
        <v/>
      </c>
      <c r="F28">
        <f>IFERROR(_xlfn.BINOM.INV(MAX(0,cb!F27),MAX(0,MIN(1,m_st!F28)),RAND()),0)</f>
        <v/>
      </c>
      <c r="G28">
        <f>IFERROR(_xlfn.BINOM.INV(MAX(0,cb!G27),MAX(0,MIN(1,m_st!G28)),RAND()),0)</f>
        <v/>
      </c>
      <c r="H28">
        <f>IFERROR(_xlfn.BINOM.INV(MAX(0,cb!H27),MAX(0,MIN(1,m_st!H28)),RAND()),0)</f>
        <v/>
      </c>
      <c r="I28">
        <f>IFERROR(_xlfn.BINOM.INV(MAX(0,cb!I27),MAX(0,MIN(1,m_st!I28)),RAND()),0)</f>
        <v/>
      </c>
      <c r="J28">
        <f>IFERROR(_xlfn.BINOM.INV(MAX(0,cb!J27),MAX(0,MIN(1,m_st!J28)),RAND()),0)</f>
        <v/>
      </c>
      <c r="K28">
        <f>IFERROR(_xlfn.BINOM.INV(MAX(0,cb!K27),MAX(0,MIN(1,m_st!K28)),RAND()),0)</f>
        <v/>
      </c>
    </row>
    <row r="29">
      <c r="A29" t="n">
        <v>27</v>
      </c>
      <c r="B29">
        <f>IFERROR(_xlfn.BINOM.INV(MAX(0,cb!B28),MAX(0,MIN(1,m_st!B29)),RAND()),0)</f>
        <v/>
      </c>
      <c r="C29">
        <f>IFERROR(_xlfn.BINOM.INV(MAX(0,cb!C28),MAX(0,MIN(1,m_st!C29)),RAND()),0)</f>
        <v/>
      </c>
      <c r="D29">
        <f>IFERROR(_xlfn.BINOM.INV(MAX(0,cb!D28),MAX(0,MIN(1,m_st!D29)),RAND()),0)</f>
        <v/>
      </c>
      <c r="E29">
        <f>IFERROR(_xlfn.BINOM.INV(MAX(0,cb!E28),MAX(0,MIN(1,m_st!E29)),RAND()),0)</f>
        <v/>
      </c>
      <c r="F29">
        <f>IFERROR(_xlfn.BINOM.INV(MAX(0,cb!F28),MAX(0,MIN(1,m_st!F29)),RAND()),0)</f>
        <v/>
      </c>
      <c r="G29">
        <f>IFERROR(_xlfn.BINOM.INV(MAX(0,cb!G28),MAX(0,MIN(1,m_st!G29)),RAND()),0)</f>
        <v/>
      </c>
      <c r="H29">
        <f>IFERROR(_xlfn.BINOM.INV(MAX(0,cb!H28),MAX(0,MIN(1,m_st!H29)),RAND()),0)</f>
        <v/>
      </c>
      <c r="I29">
        <f>IFERROR(_xlfn.BINOM.INV(MAX(0,cb!I28),MAX(0,MIN(1,m_st!I29)),RAND()),0)</f>
        <v/>
      </c>
      <c r="J29">
        <f>IFERROR(_xlfn.BINOM.INV(MAX(0,cb!J28),MAX(0,MIN(1,m_st!J29)),RAND()),0)</f>
        <v/>
      </c>
      <c r="K29">
        <f>IFERROR(_xlfn.BINOM.INV(MAX(0,cb!K28),MAX(0,MIN(1,m_st!K29)),RAND()),0)</f>
        <v/>
      </c>
    </row>
    <row r="30">
      <c r="A30" t="n">
        <v>28</v>
      </c>
      <c r="B30">
        <f>IFERROR(_xlfn.BINOM.INV(MAX(0,cb!B29),MAX(0,MIN(1,m_st!B30)),RAND()),0)</f>
        <v/>
      </c>
      <c r="C30">
        <f>IFERROR(_xlfn.BINOM.INV(MAX(0,cb!C29),MAX(0,MIN(1,m_st!C30)),RAND()),0)</f>
        <v/>
      </c>
      <c r="D30">
        <f>IFERROR(_xlfn.BINOM.INV(MAX(0,cb!D29),MAX(0,MIN(1,m_st!D30)),RAND()),0)</f>
        <v/>
      </c>
      <c r="E30">
        <f>IFERROR(_xlfn.BINOM.INV(MAX(0,cb!E29),MAX(0,MIN(1,m_st!E30)),RAND()),0)</f>
        <v/>
      </c>
      <c r="F30">
        <f>IFERROR(_xlfn.BINOM.INV(MAX(0,cb!F29),MAX(0,MIN(1,m_st!F30)),RAND()),0)</f>
        <v/>
      </c>
      <c r="G30">
        <f>IFERROR(_xlfn.BINOM.INV(MAX(0,cb!G29),MAX(0,MIN(1,m_st!G30)),RAND()),0)</f>
        <v/>
      </c>
      <c r="H30">
        <f>IFERROR(_xlfn.BINOM.INV(MAX(0,cb!H29),MAX(0,MIN(1,m_st!H30)),RAND()),0)</f>
        <v/>
      </c>
      <c r="I30">
        <f>IFERROR(_xlfn.BINOM.INV(MAX(0,cb!I29),MAX(0,MIN(1,m_st!I30)),RAND()),0)</f>
        <v/>
      </c>
      <c r="J30">
        <f>IFERROR(_xlfn.BINOM.INV(MAX(0,cb!J29),MAX(0,MIN(1,m_st!J30)),RAND()),0)</f>
        <v/>
      </c>
      <c r="K30">
        <f>IFERROR(_xlfn.BINOM.INV(MAX(0,cb!K29),MAX(0,MIN(1,m_st!K30)),RAND()),0)</f>
        <v/>
      </c>
    </row>
    <row r="31">
      <c r="A31" t="n">
        <v>29</v>
      </c>
      <c r="B31">
        <f>IFERROR(_xlfn.BINOM.INV(MAX(0,cb!B30),MAX(0,MIN(1,m_st!B31)),RAND()),0)</f>
        <v/>
      </c>
      <c r="C31">
        <f>IFERROR(_xlfn.BINOM.INV(MAX(0,cb!C30),MAX(0,MIN(1,m_st!C31)),RAND()),0)</f>
        <v/>
      </c>
      <c r="D31">
        <f>IFERROR(_xlfn.BINOM.INV(MAX(0,cb!D30),MAX(0,MIN(1,m_st!D31)),RAND()),0)</f>
        <v/>
      </c>
      <c r="E31">
        <f>IFERROR(_xlfn.BINOM.INV(MAX(0,cb!E30),MAX(0,MIN(1,m_st!E31)),RAND()),0)</f>
        <v/>
      </c>
      <c r="F31">
        <f>IFERROR(_xlfn.BINOM.INV(MAX(0,cb!F30),MAX(0,MIN(1,m_st!F31)),RAND()),0)</f>
        <v/>
      </c>
      <c r="G31">
        <f>IFERROR(_xlfn.BINOM.INV(MAX(0,cb!G30),MAX(0,MIN(1,m_st!G31)),RAND()),0)</f>
        <v/>
      </c>
      <c r="H31">
        <f>IFERROR(_xlfn.BINOM.INV(MAX(0,cb!H30),MAX(0,MIN(1,m_st!H31)),RAND()),0)</f>
        <v/>
      </c>
      <c r="I31">
        <f>IFERROR(_xlfn.BINOM.INV(MAX(0,cb!I30),MAX(0,MIN(1,m_st!I31)),RAND()),0)</f>
        <v/>
      </c>
      <c r="J31">
        <f>IFERROR(_xlfn.BINOM.INV(MAX(0,cb!J30),MAX(0,MIN(1,m_st!J31)),RAND()),0)</f>
        <v/>
      </c>
      <c r="K31">
        <f>IFERROR(_xlfn.BINOM.INV(MAX(0,cb!K30),MAX(0,MIN(1,m_st!K31)),RAND()),0)</f>
        <v/>
      </c>
    </row>
    <row r="32">
      <c r="A32" t="n">
        <v>30</v>
      </c>
      <c r="B32">
        <f>IFERROR(_xlfn.BINOM.INV(MAX(0,cb!B31),MAX(0,MIN(1,m_st!B32)),RAND()),0)</f>
        <v/>
      </c>
      <c r="C32">
        <f>IFERROR(_xlfn.BINOM.INV(MAX(0,cb!C31),MAX(0,MIN(1,m_st!C32)),RAND()),0)</f>
        <v/>
      </c>
      <c r="D32">
        <f>IFERROR(_xlfn.BINOM.INV(MAX(0,cb!D31),MAX(0,MIN(1,m_st!D32)),RAND()),0)</f>
        <v/>
      </c>
      <c r="E32">
        <f>IFERROR(_xlfn.BINOM.INV(MAX(0,cb!E31),MAX(0,MIN(1,m_st!E32)),RAND()),0)</f>
        <v/>
      </c>
      <c r="F32">
        <f>IFERROR(_xlfn.BINOM.INV(MAX(0,cb!F31),MAX(0,MIN(1,m_st!F32)),RAND()),0)</f>
        <v/>
      </c>
      <c r="G32">
        <f>IFERROR(_xlfn.BINOM.INV(MAX(0,cb!G31),MAX(0,MIN(1,m_st!G32)),RAND()),0)</f>
        <v/>
      </c>
      <c r="H32">
        <f>IFERROR(_xlfn.BINOM.INV(MAX(0,cb!H31),MAX(0,MIN(1,m_st!H32)),RAND()),0)</f>
        <v/>
      </c>
      <c r="I32">
        <f>IFERROR(_xlfn.BINOM.INV(MAX(0,cb!I31),MAX(0,MIN(1,m_st!I32)),RAND()),0)</f>
        <v/>
      </c>
      <c r="J32">
        <f>IFERROR(_xlfn.BINOM.INV(MAX(0,cb!J31),MAX(0,MIN(1,m_st!J32)),RAND()),0)</f>
        <v/>
      </c>
      <c r="K32">
        <f>IFERROR(_xlfn.BINOM.INV(MAX(0,cb!K31),MAX(0,MIN(1,m_st!K32)),RAND()),0)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t \ a</t>
        </is>
      </c>
      <c r="B1" s="1" t="inlineStr">
        <is>
          <t>a=1</t>
        </is>
      </c>
      <c r="C1" s="1" t="inlineStr">
        <is>
          <t>a=2</t>
        </is>
      </c>
      <c r="D1" s="1" t="inlineStr">
        <is>
          <t>a=3</t>
        </is>
      </c>
      <c r="E1" s="1" t="inlineStr">
        <is>
          <t>a=4</t>
        </is>
      </c>
      <c r="F1" s="1" t="inlineStr">
        <is>
          <t>a=5</t>
        </is>
      </c>
      <c r="G1" s="1" t="inlineStr">
        <is>
          <t>a=6</t>
        </is>
      </c>
      <c r="H1" s="1" t="inlineStr">
        <is>
          <t>a=7</t>
        </is>
      </c>
      <c r="I1" s="1" t="inlineStr">
        <is>
          <t>a=8</t>
        </is>
      </c>
      <c r="J1" s="1" t="inlineStr">
        <is>
          <t>a=9</t>
        </is>
      </c>
      <c r="K1" s="1" t="inlineStr">
        <is>
          <t>a=10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>
        <f>IFERROR(_xlfn.BINOM.INV(MAX(0,z!C2+o!C2+ca!C2+cb!C2),MAX(0,MIN(1,r_st!C3)),RAND()),0)</f>
        <v/>
      </c>
      <c r="D3">
        <f>IFERROR(_xlfn.BINOM.INV(MAX(0,z!D2+o!D2+ca!D2+cb!D2),MAX(0,MIN(1,r_st!D3)),RAND()),0)</f>
        <v/>
      </c>
      <c r="E3">
        <f>IFERROR(_xlfn.BINOM.INV(MAX(0,z!E2+o!E2+ca!E2+cb!E2),MAX(0,MIN(1,r_st!E3)),RAND()),0)</f>
        <v/>
      </c>
      <c r="F3">
        <f>IFERROR(_xlfn.BINOM.INV(MAX(0,z!F2+o!F2+ca!F2+cb!F2),MAX(0,MIN(1,r_st!F3)),RAND()),0)</f>
        <v/>
      </c>
      <c r="G3">
        <f>IFERROR(_xlfn.BINOM.INV(MAX(0,z!G2+o!G2+ca!G2+cb!G2),MAX(0,MIN(1,r_st!G3)),RAND()),0)</f>
        <v/>
      </c>
      <c r="H3">
        <f>IFERROR(_xlfn.BINOM.INV(MAX(0,z!H2+o!H2+ca!H2+cb!H2),MAX(0,MIN(1,r_st!H3)),RAND()),0)</f>
        <v/>
      </c>
      <c r="I3">
        <f>IFERROR(_xlfn.BINOM.INV(MAX(0,z!I2+o!I2+ca!I2+cb!I2),MAX(0,MIN(1,r_st!I3)),RAND()),0)</f>
        <v/>
      </c>
      <c r="J3">
        <f>IFERROR(_xlfn.BINOM.INV(MAX(0,z!J2+o!J2+ca!J2+cb!J2),MAX(0,MIN(1,r_st!J3)),RAND()),0)</f>
        <v/>
      </c>
      <c r="K3">
        <f>IFERROR(_xlfn.BINOM.INV(MAX(0,z!K2+o!K2+ca!K2+cb!K2),MAX(0,MIN(1,r_st!K3)),RAND()),0)</f>
        <v/>
      </c>
    </row>
    <row r="4">
      <c r="A4" t="n">
        <v>2</v>
      </c>
      <c r="B4" t="n">
        <v>0</v>
      </c>
      <c r="C4">
        <f>IFERROR(_xlfn.BINOM.INV(MAX(0,z!C3+o!C3+ca!C3+cb!C3),MAX(0,MIN(1,r_st!C4)),RAND()),0)</f>
        <v/>
      </c>
      <c r="D4">
        <f>IFERROR(_xlfn.BINOM.INV(MAX(0,z!D3+o!D3+ca!D3+cb!D3),MAX(0,MIN(1,r_st!D4)),RAND()),0)</f>
        <v/>
      </c>
      <c r="E4">
        <f>IFERROR(_xlfn.BINOM.INV(MAX(0,z!E3+o!E3+ca!E3+cb!E3),MAX(0,MIN(1,r_st!E4)),RAND()),0)</f>
        <v/>
      </c>
      <c r="F4">
        <f>IFERROR(_xlfn.BINOM.INV(MAX(0,z!F3+o!F3+ca!F3+cb!F3),MAX(0,MIN(1,r_st!F4)),RAND()),0)</f>
        <v/>
      </c>
      <c r="G4">
        <f>IFERROR(_xlfn.BINOM.INV(MAX(0,z!G3+o!G3+ca!G3+cb!G3),MAX(0,MIN(1,r_st!G4)),RAND()),0)</f>
        <v/>
      </c>
      <c r="H4">
        <f>IFERROR(_xlfn.BINOM.INV(MAX(0,z!H3+o!H3+ca!H3+cb!H3),MAX(0,MIN(1,r_st!H4)),RAND()),0)</f>
        <v/>
      </c>
      <c r="I4">
        <f>IFERROR(_xlfn.BINOM.INV(MAX(0,z!I3+o!I3+ca!I3+cb!I3),MAX(0,MIN(1,r_st!I4)),RAND()),0)</f>
        <v/>
      </c>
      <c r="J4">
        <f>IFERROR(_xlfn.BINOM.INV(MAX(0,z!J3+o!J3+ca!J3+cb!J3),MAX(0,MIN(1,r_st!J4)),RAND()),0)</f>
        <v/>
      </c>
      <c r="K4">
        <f>IFERROR(_xlfn.BINOM.INV(MAX(0,z!K3+o!K3+ca!K3+cb!K3),MAX(0,MIN(1,r_st!K4)),RAND()),0)</f>
        <v/>
      </c>
    </row>
    <row r="5">
      <c r="A5" t="n">
        <v>3</v>
      </c>
      <c r="B5" t="n">
        <v>0</v>
      </c>
      <c r="C5">
        <f>IFERROR(_xlfn.BINOM.INV(MAX(0,z!C4+o!C4+ca!C4+cb!C4),MAX(0,MIN(1,r_st!C5)),RAND()),0)</f>
        <v/>
      </c>
      <c r="D5">
        <f>IFERROR(_xlfn.BINOM.INV(MAX(0,z!D4+o!D4+ca!D4+cb!D4),MAX(0,MIN(1,r_st!D5)),RAND()),0)</f>
        <v/>
      </c>
      <c r="E5">
        <f>IFERROR(_xlfn.BINOM.INV(MAX(0,z!E4+o!E4+ca!E4+cb!E4),MAX(0,MIN(1,r_st!E5)),RAND()),0)</f>
        <v/>
      </c>
      <c r="F5">
        <f>IFERROR(_xlfn.BINOM.INV(MAX(0,z!F4+o!F4+ca!F4+cb!F4),MAX(0,MIN(1,r_st!F5)),RAND()),0)</f>
        <v/>
      </c>
      <c r="G5">
        <f>IFERROR(_xlfn.BINOM.INV(MAX(0,z!G4+o!G4+ca!G4+cb!G4),MAX(0,MIN(1,r_st!G5)),RAND()),0)</f>
        <v/>
      </c>
      <c r="H5">
        <f>IFERROR(_xlfn.BINOM.INV(MAX(0,z!H4+o!H4+ca!H4+cb!H4),MAX(0,MIN(1,r_st!H5)),RAND()),0)</f>
        <v/>
      </c>
      <c r="I5">
        <f>IFERROR(_xlfn.BINOM.INV(MAX(0,z!I4+o!I4+ca!I4+cb!I4),MAX(0,MIN(1,r_st!I5)),RAND()),0)</f>
        <v/>
      </c>
      <c r="J5">
        <f>IFERROR(_xlfn.BINOM.INV(MAX(0,z!J4+o!J4+ca!J4+cb!J4),MAX(0,MIN(1,r_st!J5)),RAND()),0)</f>
        <v/>
      </c>
      <c r="K5">
        <f>IFERROR(_xlfn.BINOM.INV(MAX(0,z!K4+o!K4+ca!K4+cb!K4),MAX(0,MIN(1,r_st!K5)),RAND()),0)</f>
        <v/>
      </c>
    </row>
    <row r="6">
      <c r="A6" t="n">
        <v>4</v>
      </c>
      <c r="B6" t="n">
        <v>0</v>
      </c>
      <c r="C6">
        <f>IFERROR(_xlfn.BINOM.INV(MAX(0,z!C5+o!C5+ca!C5+cb!C5),MAX(0,MIN(1,r_st!C6)),RAND()),0)</f>
        <v/>
      </c>
      <c r="D6">
        <f>IFERROR(_xlfn.BINOM.INV(MAX(0,z!D5+o!D5+ca!D5+cb!D5),MAX(0,MIN(1,r_st!D6)),RAND()),0)</f>
        <v/>
      </c>
      <c r="E6">
        <f>IFERROR(_xlfn.BINOM.INV(MAX(0,z!E5+o!E5+ca!E5+cb!E5),MAX(0,MIN(1,r_st!E6)),RAND()),0)</f>
        <v/>
      </c>
      <c r="F6">
        <f>IFERROR(_xlfn.BINOM.INV(MAX(0,z!F5+o!F5+ca!F5+cb!F5),MAX(0,MIN(1,r_st!F6)),RAND()),0)</f>
        <v/>
      </c>
      <c r="G6">
        <f>IFERROR(_xlfn.BINOM.INV(MAX(0,z!G5+o!G5+ca!G5+cb!G5),MAX(0,MIN(1,r_st!G6)),RAND()),0)</f>
        <v/>
      </c>
      <c r="H6">
        <f>IFERROR(_xlfn.BINOM.INV(MAX(0,z!H5+o!H5+ca!H5+cb!H5),MAX(0,MIN(1,r_st!H6)),RAND()),0)</f>
        <v/>
      </c>
      <c r="I6">
        <f>IFERROR(_xlfn.BINOM.INV(MAX(0,z!I5+o!I5+ca!I5+cb!I5),MAX(0,MIN(1,r_st!I6)),RAND()),0)</f>
        <v/>
      </c>
      <c r="J6">
        <f>IFERROR(_xlfn.BINOM.INV(MAX(0,z!J5+o!J5+ca!J5+cb!J5),MAX(0,MIN(1,r_st!J6)),RAND()),0)</f>
        <v/>
      </c>
      <c r="K6">
        <f>IFERROR(_xlfn.BINOM.INV(MAX(0,z!K5+o!K5+ca!K5+cb!K5),MAX(0,MIN(1,r_st!K6)),RAND()),0)</f>
        <v/>
      </c>
    </row>
    <row r="7">
      <c r="A7" t="n">
        <v>5</v>
      </c>
      <c r="B7" t="n">
        <v>0</v>
      </c>
      <c r="C7">
        <f>IFERROR(_xlfn.BINOM.INV(MAX(0,z!C6+o!C6+ca!C6+cb!C6),MAX(0,MIN(1,r_st!C7)),RAND()),0)</f>
        <v/>
      </c>
      <c r="D7">
        <f>IFERROR(_xlfn.BINOM.INV(MAX(0,z!D6+o!D6+ca!D6+cb!D6),MAX(0,MIN(1,r_st!D7)),RAND()),0)</f>
        <v/>
      </c>
      <c r="E7">
        <f>IFERROR(_xlfn.BINOM.INV(MAX(0,z!E6+o!E6+ca!E6+cb!E6),MAX(0,MIN(1,r_st!E7)),RAND()),0)</f>
        <v/>
      </c>
      <c r="F7">
        <f>IFERROR(_xlfn.BINOM.INV(MAX(0,z!F6+o!F6+ca!F6+cb!F6),MAX(0,MIN(1,r_st!F7)),RAND()),0)</f>
        <v/>
      </c>
      <c r="G7">
        <f>IFERROR(_xlfn.BINOM.INV(MAX(0,z!G6+o!G6+ca!G6+cb!G6),MAX(0,MIN(1,r_st!G7)),RAND()),0)</f>
        <v/>
      </c>
      <c r="H7">
        <f>IFERROR(_xlfn.BINOM.INV(MAX(0,z!H6+o!H6+ca!H6+cb!H6),MAX(0,MIN(1,r_st!H7)),RAND()),0)</f>
        <v/>
      </c>
      <c r="I7">
        <f>IFERROR(_xlfn.BINOM.INV(MAX(0,z!I6+o!I6+ca!I6+cb!I6),MAX(0,MIN(1,r_st!I7)),RAND()),0)</f>
        <v/>
      </c>
      <c r="J7">
        <f>IFERROR(_xlfn.BINOM.INV(MAX(0,z!J6+o!J6+ca!J6+cb!J6),MAX(0,MIN(1,r_st!J7)),RAND()),0)</f>
        <v/>
      </c>
      <c r="K7">
        <f>IFERROR(_xlfn.BINOM.INV(MAX(0,z!K6+o!K6+ca!K6+cb!K6),MAX(0,MIN(1,r_st!K7)),RAND()),0)</f>
        <v/>
      </c>
    </row>
    <row r="8">
      <c r="A8" t="n">
        <v>6</v>
      </c>
      <c r="B8" t="n">
        <v>0</v>
      </c>
      <c r="C8">
        <f>IFERROR(_xlfn.BINOM.INV(MAX(0,z!C7+o!C7+ca!C7+cb!C7),MAX(0,MIN(1,r_st!C8)),RAND()),0)</f>
        <v/>
      </c>
      <c r="D8">
        <f>IFERROR(_xlfn.BINOM.INV(MAX(0,z!D7+o!D7+ca!D7+cb!D7),MAX(0,MIN(1,r_st!D8)),RAND()),0)</f>
        <v/>
      </c>
      <c r="E8">
        <f>IFERROR(_xlfn.BINOM.INV(MAX(0,z!E7+o!E7+ca!E7+cb!E7),MAX(0,MIN(1,r_st!E8)),RAND()),0)</f>
        <v/>
      </c>
      <c r="F8">
        <f>IFERROR(_xlfn.BINOM.INV(MAX(0,z!F7+o!F7+ca!F7+cb!F7),MAX(0,MIN(1,r_st!F8)),RAND()),0)</f>
        <v/>
      </c>
      <c r="G8">
        <f>IFERROR(_xlfn.BINOM.INV(MAX(0,z!G7+o!G7+ca!G7+cb!G7),MAX(0,MIN(1,r_st!G8)),RAND()),0)</f>
        <v/>
      </c>
      <c r="H8">
        <f>IFERROR(_xlfn.BINOM.INV(MAX(0,z!H7+o!H7+ca!H7+cb!H7),MAX(0,MIN(1,r_st!H8)),RAND()),0)</f>
        <v/>
      </c>
      <c r="I8">
        <f>IFERROR(_xlfn.BINOM.INV(MAX(0,z!I7+o!I7+ca!I7+cb!I7),MAX(0,MIN(1,r_st!I8)),RAND()),0)</f>
        <v/>
      </c>
      <c r="J8">
        <f>IFERROR(_xlfn.BINOM.INV(MAX(0,z!J7+o!J7+ca!J7+cb!J7),MAX(0,MIN(1,r_st!J8)),RAND()),0)</f>
        <v/>
      </c>
      <c r="K8">
        <f>IFERROR(_xlfn.BINOM.INV(MAX(0,z!K7+o!K7+ca!K7+cb!K7),MAX(0,MIN(1,r_st!K8)),RAND()),0)</f>
        <v/>
      </c>
    </row>
    <row r="9">
      <c r="A9" t="n">
        <v>7</v>
      </c>
      <c r="B9" t="n">
        <v>0</v>
      </c>
      <c r="C9">
        <f>IFERROR(_xlfn.BINOM.INV(MAX(0,z!C8+o!C8+ca!C8+cb!C8),MAX(0,MIN(1,r_st!C9)),RAND()),0)</f>
        <v/>
      </c>
      <c r="D9">
        <f>IFERROR(_xlfn.BINOM.INV(MAX(0,z!D8+o!D8+ca!D8+cb!D8),MAX(0,MIN(1,r_st!D9)),RAND()),0)</f>
        <v/>
      </c>
      <c r="E9">
        <f>IFERROR(_xlfn.BINOM.INV(MAX(0,z!E8+o!E8+ca!E8+cb!E8),MAX(0,MIN(1,r_st!E9)),RAND()),0)</f>
        <v/>
      </c>
      <c r="F9">
        <f>IFERROR(_xlfn.BINOM.INV(MAX(0,z!F8+o!F8+ca!F8+cb!F8),MAX(0,MIN(1,r_st!F9)),RAND()),0)</f>
        <v/>
      </c>
      <c r="G9">
        <f>IFERROR(_xlfn.BINOM.INV(MAX(0,z!G8+o!G8+ca!G8+cb!G8),MAX(0,MIN(1,r_st!G9)),RAND()),0)</f>
        <v/>
      </c>
      <c r="H9">
        <f>IFERROR(_xlfn.BINOM.INV(MAX(0,z!H8+o!H8+ca!H8+cb!H8),MAX(0,MIN(1,r_st!H9)),RAND()),0)</f>
        <v/>
      </c>
      <c r="I9">
        <f>IFERROR(_xlfn.BINOM.INV(MAX(0,z!I8+o!I8+ca!I8+cb!I8),MAX(0,MIN(1,r_st!I9)),RAND()),0)</f>
        <v/>
      </c>
      <c r="J9">
        <f>IFERROR(_xlfn.BINOM.INV(MAX(0,z!J8+o!J8+ca!J8+cb!J8),MAX(0,MIN(1,r_st!J9)),RAND()),0)</f>
        <v/>
      </c>
      <c r="K9">
        <f>IFERROR(_xlfn.BINOM.INV(MAX(0,z!K8+o!K8+ca!K8+cb!K8),MAX(0,MIN(1,r_st!K9)),RAND()),0)</f>
        <v/>
      </c>
    </row>
    <row r="10">
      <c r="A10" t="n">
        <v>8</v>
      </c>
      <c r="B10" t="n">
        <v>0</v>
      </c>
      <c r="C10">
        <f>IFERROR(_xlfn.BINOM.INV(MAX(0,z!C9+o!C9+ca!C9+cb!C9),MAX(0,MIN(1,r_st!C10)),RAND()),0)</f>
        <v/>
      </c>
      <c r="D10">
        <f>IFERROR(_xlfn.BINOM.INV(MAX(0,z!D9+o!D9+ca!D9+cb!D9),MAX(0,MIN(1,r_st!D10)),RAND()),0)</f>
        <v/>
      </c>
      <c r="E10">
        <f>IFERROR(_xlfn.BINOM.INV(MAX(0,z!E9+o!E9+ca!E9+cb!E9),MAX(0,MIN(1,r_st!E10)),RAND()),0)</f>
        <v/>
      </c>
      <c r="F10">
        <f>IFERROR(_xlfn.BINOM.INV(MAX(0,z!F9+o!F9+ca!F9+cb!F9),MAX(0,MIN(1,r_st!F10)),RAND()),0)</f>
        <v/>
      </c>
      <c r="G10">
        <f>IFERROR(_xlfn.BINOM.INV(MAX(0,z!G9+o!G9+ca!G9+cb!G9),MAX(0,MIN(1,r_st!G10)),RAND()),0)</f>
        <v/>
      </c>
      <c r="H10">
        <f>IFERROR(_xlfn.BINOM.INV(MAX(0,z!H9+o!H9+ca!H9+cb!H9),MAX(0,MIN(1,r_st!H10)),RAND()),0)</f>
        <v/>
      </c>
      <c r="I10">
        <f>IFERROR(_xlfn.BINOM.INV(MAX(0,z!I9+o!I9+ca!I9+cb!I9),MAX(0,MIN(1,r_st!I10)),RAND()),0)</f>
        <v/>
      </c>
      <c r="J10">
        <f>IFERROR(_xlfn.BINOM.INV(MAX(0,z!J9+o!J9+ca!J9+cb!J9),MAX(0,MIN(1,r_st!J10)),RAND()),0)</f>
        <v/>
      </c>
      <c r="K10">
        <f>IFERROR(_xlfn.BINOM.INV(MAX(0,z!K9+o!K9+ca!K9+cb!K9),MAX(0,MIN(1,r_st!K10)),RAND()),0)</f>
        <v/>
      </c>
    </row>
    <row r="11">
      <c r="A11" t="n">
        <v>9</v>
      </c>
      <c r="B11" t="n">
        <v>0</v>
      </c>
      <c r="C11">
        <f>IFERROR(_xlfn.BINOM.INV(MAX(0,z!C10+o!C10+ca!C10+cb!C10),MAX(0,MIN(1,r_st!C11)),RAND()),0)</f>
        <v/>
      </c>
      <c r="D11">
        <f>IFERROR(_xlfn.BINOM.INV(MAX(0,z!D10+o!D10+ca!D10+cb!D10),MAX(0,MIN(1,r_st!D11)),RAND()),0)</f>
        <v/>
      </c>
      <c r="E11">
        <f>IFERROR(_xlfn.BINOM.INV(MAX(0,z!E10+o!E10+ca!E10+cb!E10),MAX(0,MIN(1,r_st!E11)),RAND()),0)</f>
        <v/>
      </c>
      <c r="F11">
        <f>IFERROR(_xlfn.BINOM.INV(MAX(0,z!F10+o!F10+ca!F10+cb!F10),MAX(0,MIN(1,r_st!F11)),RAND()),0)</f>
        <v/>
      </c>
      <c r="G11">
        <f>IFERROR(_xlfn.BINOM.INV(MAX(0,z!G10+o!G10+ca!G10+cb!G10),MAX(0,MIN(1,r_st!G11)),RAND()),0)</f>
        <v/>
      </c>
      <c r="H11">
        <f>IFERROR(_xlfn.BINOM.INV(MAX(0,z!H10+o!H10+ca!H10+cb!H10),MAX(0,MIN(1,r_st!H11)),RAND()),0)</f>
        <v/>
      </c>
      <c r="I11">
        <f>IFERROR(_xlfn.BINOM.INV(MAX(0,z!I10+o!I10+ca!I10+cb!I10),MAX(0,MIN(1,r_st!I11)),RAND()),0)</f>
        <v/>
      </c>
      <c r="J11">
        <f>IFERROR(_xlfn.BINOM.INV(MAX(0,z!J10+o!J10+ca!J10+cb!J10),MAX(0,MIN(1,r_st!J11)),RAND()),0)</f>
        <v/>
      </c>
      <c r="K11">
        <f>IFERROR(_xlfn.BINOM.INV(MAX(0,z!K10+o!K10+ca!K10+cb!K10),MAX(0,MIN(1,r_st!K11)),RAND()),0)</f>
        <v/>
      </c>
    </row>
    <row r="12">
      <c r="A12" t="n">
        <v>10</v>
      </c>
      <c r="B12" t="n">
        <v>0</v>
      </c>
      <c r="C12">
        <f>IFERROR(_xlfn.BINOM.INV(MAX(0,z!C11+o!C11+ca!C11+cb!C11),MAX(0,MIN(1,r_st!C12)),RAND()),0)</f>
        <v/>
      </c>
      <c r="D12">
        <f>IFERROR(_xlfn.BINOM.INV(MAX(0,z!D11+o!D11+ca!D11+cb!D11),MAX(0,MIN(1,r_st!D12)),RAND()),0)</f>
        <v/>
      </c>
      <c r="E12">
        <f>IFERROR(_xlfn.BINOM.INV(MAX(0,z!E11+o!E11+ca!E11+cb!E11),MAX(0,MIN(1,r_st!E12)),RAND()),0)</f>
        <v/>
      </c>
      <c r="F12">
        <f>IFERROR(_xlfn.BINOM.INV(MAX(0,z!F11+o!F11+ca!F11+cb!F11),MAX(0,MIN(1,r_st!F12)),RAND()),0)</f>
        <v/>
      </c>
      <c r="G12">
        <f>IFERROR(_xlfn.BINOM.INV(MAX(0,z!G11+o!G11+ca!G11+cb!G11),MAX(0,MIN(1,r_st!G12)),RAND()),0)</f>
        <v/>
      </c>
      <c r="H12">
        <f>IFERROR(_xlfn.BINOM.INV(MAX(0,z!H11+o!H11+ca!H11+cb!H11),MAX(0,MIN(1,r_st!H12)),RAND()),0)</f>
        <v/>
      </c>
      <c r="I12">
        <f>IFERROR(_xlfn.BINOM.INV(MAX(0,z!I11+o!I11+ca!I11+cb!I11),MAX(0,MIN(1,r_st!I12)),RAND()),0)</f>
        <v/>
      </c>
      <c r="J12">
        <f>IFERROR(_xlfn.BINOM.INV(MAX(0,z!J11+o!J11+ca!J11+cb!J11),MAX(0,MIN(1,r_st!J12)),RAND()),0)</f>
        <v/>
      </c>
      <c r="K12">
        <f>IFERROR(_xlfn.BINOM.INV(MAX(0,z!K11+o!K11+ca!K11+cb!K11),MAX(0,MIN(1,r_st!K12)),RAND()),0)</f>
        <v/>
      </c>
    </row>
    <row r="13">
      <c r="A13" t="n">
        <v>11</v>
      </c>
      <c r="B13" t="n">
        <v>0</v>
      </c>
      <c r="C13">
        <f>IFERROR(_xlfn.BINOM.INV(MAX(0,z!C12+o!C12+ca!C12+cb!C12),MAX(0,MIN(1,r_st!C13)),RAND()),0)</f>
        <v/>
      </c>
      <c r="D13">
        <f>IFERROR(_xlfn.BINOM.INV(MAX(0,z!D12+o!D12+ca!D12+cb!D12),MAX(0,MIN(1,r_st!D13)),RAND()),0)</f>
        <v/>
      </c>
      <c r="E13">
        <f>IFERROR(_xlfn.BINOM.INV(MAX(0,z!E12+o!E12+ca!E12+cb!E12),MAX(0,MIN(1,r_st!E13)),RAND()),0)</f>
        <v/>
      </c>
      <c r="F13">
        <f>IFERROR(_xlfn.BINOM.INV(MAX(0,z!F12+o!F12+ca!F12+cb!F12),MAX(0,MIN(1,r_st!F13)),RAND()),0)</f>
        <v/>
      </c>
      <c r="G13">
        <f>IFERROR(_xlfn.BINOM.INV(MAX(0,z!G12+o!G12+ca!G12+cb!G12),MAX(0,MIN(1,r_st!G13)),RAND()),0)</f>
        <v/>
      </c>
      <c r="H13">
        <f>IFERROR(_xlfn.BINOM.INV(MAX(0,z!H12+o!H12+ca!H12+cb!H12),MAX(0,MIN(1,r_st!H13)),RAND()),0)</f>
        <v/>
      </c>
      <c r="I13">
        <f>IFERROR(_xlfn.BINOM.INV(MAX(0,z!I12+o!I12+ca!I12+cb!I12),MAX(0,MIN(1,r_st!I13)),RAND()),0)</f>
        <v/>
      </c>
      <c r="J13">
        <f>IFERROR(_xlfn.BINOM.INV(MAX(0,z!J12+o!J12+ca!J12+cb!J12),MAX(0,MIN(1,r_st!J13)),RAND()),0)</f>
        <v/>
      </c>
      <c r="K13">
        <f>IFERROR(_xlfn.BINOM.INV(MAX(0,z!K12+o!K12+ca!K12+cb!K12),MAX(0,MIN(1,r_st!K13)),RAND()),0)</f>
        <v/>
      </c>
    </row>
    <row r="14">
      <c r="A14" t="n">
        <v>12</v>
      </c>
      <c r="B14" t="n">
        <v>0</v>
      </c>
      <c r="C14">
        <f>IFERROR(_xlfn.BINOM.INV(MAX(0,z!C13+o!C13+ca!C13+cb!C13),MAX(0,MIN(1,r_st!C14)),RAND()),0)</f>
        <v/>
      </c>
      <c r="D14">
        <f>IFERROR(_xlfn.BINOM.INV(MAX(0,z!D13+o!D13+ca!D13+cb!D13),MAX(0,MIN(1,r_st!D14)),RAND()),0)</f>
        <v/>
      </c>
      <c r="E14">
        <f>IFERROR(_xlfn.BINOM.INV(MAX(0,z!E13+o!E13+ca!E13+cb!E13),MAX(0,MIN(1,r_st!E14)),RAND()),0)</f>
        <v/>
      </c>
      <c r="F14">
        <f>IFERROR(_xlfn.BINOM.INV(MAX(0,z!F13+o!F13+ca!F13+cb!F13),MAX(0,MIN(1,r_st!F14)),RAND()),0)</f>
        <v/>
      </c>
      <c r="G14">
        <f>IFERROR(_xlfn.BINOM.INV(MAX(0,z!G13+o!G13+ca!G13+cb!G13),MAX(0,MIN(1,r_st!G14)),RAND()),0)</f>
        <v/>
      </c>
      <c r="H14">
        <f>IFERROR(_xlfn.BINOM.INV(MAX(0,z!H13+o!H13+ca!H13+cb!H13),MAX(0,MIN(1,r_st!H14)),RAND()),0)</f>
        <v/>
      </c>
      <c r="I14">
        <f>IFERROR(_xlfn.BINOM.INV(MAX(0,z!I13+o!I13+ca!I13+cb!I13),MAX(0,MIN(1,r_st!I14)),RAND()),0)</f>
        <v/>
      </c>
      <c r="J14">
        <f>IFERROR(_xlfn.BINOM.INV(MAX(0,z!J13+o!J13+ca!J13+cb!J13),MAX(0,MIN(1,r_st!J14)),RAND()),0)</f>
        <v/>
      </c>
      <c r="K14">
        <f>IFERROR(_xlfn.BINOM.INV(MAX(0,z!K13+o!K13+ca!K13+cb!K13),MAX(0,MIN(1,r_st!K14)),RAND()),0)</f>
        <v/>
      </c>
    </row>
    <row r="15">
      <c r="A15" t="n">
        <v>13</v>
      </c>
      <c r="B15" t="n">
        <v>0</v>
      </c>
      <c r="C15">
        <f>IFERROR(_xlfn.BINOM.INV(MAX(0,z!C14+o!C14+ca!C14+cb!C14),MAX(0,MIN(1,r_st!C15)),RAND()),0)</f>
        <v/>
      </c>
      <c r="D15">
        <f>IFERROR(_xlfn.BINOM.INV(MAX(0,z!D14+o!D14+ca!D14+cb!D14),MAX(0,MIN(1,r_st!D15)),RAND()),0)</f>
        <v/>
      </c>
      <c r="E15">
        <f>IFERROR(_xlfn.BINOM.INV(MAX(0,z!E14+o!E14+ca!E14+cb!E14),MAX(0,MIN(1,r_st!E15)),RAND()),0)</f>
        <v/>
      </c>
      <c r="F15">
        <f>IFERROR(_xlfn.BINOM.INV(MAX(0,z!F14+o!F14+ca!F14+cb!F14),MAX(0,MIN(1,r_st!F15)),RAND()),0)</f>
        <v/>
      </c>
      <c r="G15">
        <f>IFERROR(_xlfn.BINOM.INV(MAX(0,z!G14+o!G14+ca!G14+cb!G14),MAX(0,MIN(1,r_st!G15)),RAND()),0)</f>
        <v/>
      </c>
      <c r="H15">
        <f>IFERROR(_xlfn.BINOM.INV(MAX(0,z!H14+o!H14+ca!H14+cb!H14),MAX(0,MIN(1,r_st!H15)),RAND()),0)</f>
        <v/>
      </c>
      <c r="I15">
        <f>IFERROR(_xlfn.BINOM.INV(MAX(0,z!I14+o!I14+ca!I14+cb!I14),MAX(0,MIN(1,r_st!I15)),RAND()),0)</f>
        <v/>
      </c>
      <c r="J15">
        <f>IFERROR(_xlfn.BINOM.INV(MAX(0,z!J14+o!J14+ca!J14+cb!J14),MAX(0,MIN(1,r_st!J15)),RAND()),0)</f>
        <v/>
      </c>
      <c r="K15">
        <f>IFERROR(_xlfn.BINOM.INV(MAX(0,z!K14+o!K14+ca!K14+cb!K14),MAX(0,MIN(1,r_st!K15)),RAND()),0)</f>
        <v/>
      </c>
    </row>
    <row r="16">
      <c r="A16" t="n">
        <v>14</v>
      </c>
      <c r="B16" t="n">
        <v>0</v>
      </c>
      <c r="C16">
        <f>IFERROR(_xlfn.BINOM.INV(MAX(0,z!C15+o!C15+ca!C15+cb!C15),MAX(0,MIN(1,r_st!C16)),RAND()),0)</f>
        <v/>
      </c>
      <c r="D16">
        <f>IFERROR(_xlfn.BINOM.INV(MAX(0,z!D15+o!D15+ca!D15+cb!D15),MAX(0,MIN(1,r_st!D16)),RAND()),0)</f>
        <v/>
      </c>
      <c r="E16">
        <f>IFERROR(_xlfn.BINOM.INV(MAX(0,z!E15+o!E15+ca!E15+cb!E15),MAX(0,MIN(1,r_st!E16)),RAND()),0)</f>
        <v/>
      </c>
      <c r="F16">
        <f>IFERROR(_xlfn.BINOM.INV(MAX(0,z!F15+o!F15+ca!F15+cb!F15),MAX(0,MIN(1,r_st!F16)),RAND()),0)</f>
        <v/>
      </c>
      <c r="G16">
        <f>IFERROR(_xlfn.BINOM.INV(MAX(0,z!G15+o!G15+ca!G15+cb!G15),MAX(0,MIN(1,r_st!G16)),RAND()),0)</f>
        <v/>
      </c>
      <c r="H16">
        <f>IFERROR(_xlfn.BINOM.INV(MAX(0,z!H15+o!H15+ca!H15+cb!H15),MAX(0,MIN(1,r_st!H16)),RAND()),0)</f>
        <v/>
      </c>
      <c r="I16">
        <f>IFERROR(_xlfn.BINOM.INV(MAX(0,z!I15+o!I15+ca!I15+cb!I15),MAX(0,MIN(1,r_st!I16)),RAND()),0)</f>
        <v/>
      </c>
      <c r="J16">
        <f>IFERROR(_xlfn.BINOM.INV(MAX(0,z!J15+o!J15+ca!J15+cb!J15),MAX(0,MIN(1,r_st!J16)),RAND()),0)</f>
        <v/>
      </c>
      <c r="K16">
        <f>IFERROR(_xlfn.BINOM.INV(MAX(0,z!K15+o!K15+ca!K15+cb!K15),MAX(0,MIN(1,r_st!K16)),RAND()),0)</f>
        <v/>
      </c>
    </row>
    <row r="17">
      <c r="A17" t="n">
        <v>15</v>
      </c>
      <c r="B17" t="n">
        <v>0</v>
      </c>
      <c r="C17">
        <f>IFERROR(_xlfn.BINOM.INV(MAX(0,z!C16+o!C16+ca!C16+cb!C16),MAX(0,MIN(1,r_st!C17)),RAND()),0)</f>
        <v/>
      </c>
      <c r="D17">
        <f>IFERROR(_xlfn.BINOM.INV(MAX(0,z!D16+o!D16+ca!D16+cb!D16),MAX(0,MIN(1,r_st!D17)),RAND()),0)</f>
        <v/>
      </c>
      <c r="E17">
        <f>IFERROR(_xlfn.BINOM.INV(MAX(0,z!E16+o!E16+ca!E16+cb!E16),MAX(0,MIN(1,r_st!E17)),RAND()),0)</f>
        <v/>
      </c>
      <c r="F17">
        <f>IFERROR(_xlfn.BINOM.INV(MAX(0,z!F16+o!F16+ca!F16+cb!F16),MAX(0,MIN(1,r_st!F17)),RAND()),0)</f>
        <v/>
      </c>
      <c r="G17">
        <f>IFERROR(_xlfn.BINOM.INV(MAX(0,z!G16+o!G16+ca!G16+cb!G16),MAX(0,MIN(1,r_st!G17)),RAND()),0)</f>
        <v/>
      </c>
      <c r="H17">
        <f>IFERROR(_xlfn.BINOM.INV(MAX(0,z!H16+o!H16+ca!H16+cb!H16),MAX(0,MIN(1,r_st!H17)),RAND()),0)</f>
        <v/>
      </c>
      <c r="I17">
        <f>IFERROR(_xlfn.BINOM.INV(MAX(0,z!I16+o!I16+ca!I16+cb!I16),MAX(0,MIN(1,r_st!I17)),RAND()),0)</f>
        <v/>
      </c>
      <c r="J17">
        <f>IFERROR(_xlfn.BINOM.INV(MAX(0,z!J16+o!J16+ca!J16+cb!J16),MAX(0,MIN(1,r_st!J17)),RAND()),0)</f>
        <v/>
      </c>
      <c r="K17">
        <f>IFERROR(_xlfn.BINOM.INV(MAX(0,z!K16+o!K16+ca!K16+cb!K16),MAX(0,MIN(1,r_st!K17)),RAND()),0)</f>
        <v/>
      </c>
    </row>
    <row r="18">
      <c r="A18" t="n">
        <v>16</v>
      </c>
      <c r="B18" t="n">
        <v>0</v>
      </c>
      <c r="C18">
        <f>IFERROR(_xlfn.BINOM.INV(MAX(0,z!C17+o!C17+ca!C17+cb!C17),MAX(0,MIN(1,r_st!C18)),RAND()),0)</f>
        <v/>
      </c>
      <c r="D18">
        <f>IFERROR(_xlfn.BINOM.INV(MAX(0,z!D17+o!D17+ca!D17+cb!D17),MAX(0,MIN(1,r_st!D18)),RAND()),0)</f>
        <v/>
      </c>
      <c r="E18">
        <f>IFERROR(_xlfn.BINOM.INV(MAX(0,z!E17+o!E17+ca!E17+cb!E17),MAX(0,MIN(1,r_st!E18)),RAND()),0)</f>
        <v/>
      </c>
      <c r="F18">
        <f>IFERROR(_xlfn.BINOM.INV(MAX(0,z!F17+o!F17+ca!F17+cb!F17),MAX(0,MIN(1,r_st!F18)),RAND()),0)</f>
        <v/>
      </c>
      <c r="G18">
        <f>IFERROR(_xlfn.BINOM.INV(MAX(0,z!G17+o!G17+ca!G17+cb!G17),MAX(0,MIN(1,r_st!G18)),RAND()),0)</f>
        <v/>
      </c>
      <c r="H18">
        <f>IFERROR(_xlfn.BINOM.INV(MAX(0,z!H17+o!H17+ca!H17+cb!H17),MAX(0,MIN(1,r_st!H18)),RAND()),0)</f>
        <v/>
      </c>
      <c r="I18">
        <f>IFERROR(_xlfn.BINOM.INV(MAX(0,z!I17+o!I17+ca!I17+cb!I17),MAX(0,MIN(1,r_st!I18)),RAND()),0)</f>
        <v/>
      </c>
      <c r="J18">
        <f>IFERROR(_xlfn.BINOM.INV(MAX(0,z!J17+o!J17+ca!J17+cb!J17),MAX(0,MIN(1,r_st!J18)),RAND()),0)</f>
        <v/>
      </c>
      <c r="K18">
        <f>IFERROR(_xlfn.BINOM.INV(MAX(0,z!K17+o!K17+ca!K17+cb!K17),MAX(0,MIN(1,r_st!K18)),RAND()),0)</f>
        <v/>
      </c>
    </row>
    <row r="19">
      <c r="A19" t="n">
        <v>17</v>
      </c>
      <c r="B19" t="n">
        <v>0</v>
      </c>
      <c r="C19">
        <f>IFERROR(_xlfn.BINOM.INV(MAX(0,z!C18+o!C18+ca!C18+cb!C18),MAX(0,MIN(1,r_st!C19)),RAND()),0)</f>
        <v/>
      </c>
      <c r="D19">
        <f>IFERROR(_xlfn.BINOM.INV(MAX(0,z!D18+o!D18+ca!D18+cb!D18),MAX(0,MIN(1,r_st!D19)),RAND()),0)</f>
        <v/>
      </c>
      <c r="E19">
        <f>IFERROR(_xlfn.BINOM.INV(MAX(0,z!E18+o!E18+ca!E18+cb!E18),MAX(0,MIN(1,r_st!E19)),RAND()),0)</f>
        <v/>
      </c>
      <c r="F19">
        <f>IFERROR(_xlfn.BINOM.INV(MAX(0,z!F18+o!F18+ca!F18+cb!F18),MAX(0,MIN(1,r_st!F19)),RAND()),0)</f>
        <v/>
      </c>
      <c r="G19">
        <f>IFERROR(_xlfn.BINOM.INV(MAX(0,z!G18+o!G18+ca!G18+cb!G18),MAX(0,MIN(1,r_st!G19)),RAND()),0)</f>
        <v/>
      </c>
      <c r="H19">
        <f>IFERROR(_xlfn.BINOM.INV(MAX(0,z!H18+o!H18+ca!H18+cb!H18),MAX(0,MIN(1,r_st!H19)),RAND()),0)</f>
        <v/>
      </c>
      <c r="I19">
        <f>IFERROR(_xlfn.BINOM.INV(MAX(0,z!I18+o!I18+ca!I18+cb!I18),MAX(0,MIN(1,r_st!I19)),RAND()),0)</f>
        <v/>
      </c>
      <c r="J19">
        <f>IFERROR(_xlfn.BINOM.INV(MAX(0,z!J18+o!J18+ca!J18+cb!J18),MAX(0,MIN(1,r_st!J19)),RAND()),0)</f>
        <v/>
      </c>
      <c r="K19">
        <f>IFERROR(_xlfn.BINOM.INV(MAX(0,z!K18+o!K18+ca!K18+cb!K18),MAX(0,MIN(1,r_st!K19)),RAND()),0)</f>
        <v/>
      </c>
    </row>
    <row r="20">
      <c r="A20" t="n">
        <v>18</v>
      </c>
      <c r="B20" t="n">
        <v>0</v>
      </c>
      <c r="C20">
        <f>IFERROR(_xlfn.BINOM.INV(MAX(0,z!C19+o!C19+ca!C19+cb!C19),MAX(0,MIN(1,r_st!C20)),RAND()),0)</f>
        <v/>
      </c>
      <c r="D20">
        <f>IFERROR(_xlfn.BINOM.INV(MAX(0,z!D19+o!D19+ca!D19+cb!D19),MAX(0,MIN(1,r_st!D20)),RAND()),0)</f>
        <v/>
      </c>
      <c r="E20">
        <f>IFERROR(_xlfn.BINOM.INV(MAX(0,z!E19+o!E19+ca!E19+cb!E19),MAX(0,MIN(1,r_st!E20)),RAND()),0)</f>
        <v/>
      </c>
      <c r="F20">
        <f>IFERROR(_xlfn.BINOM.INV(MAX(0,z!F19+o!F19+ca!F19+cb!F19),MAX(0,MIN(1,r_st!F20)),RAND()),0)</f>
        <v/>
      </c>
      <c r="G20">
        <f>IFERROR(_xlfn.BINOM.INV(MAX(0,z!G19+o!G19+ca!G19+cb!G19),MAX(0,MIN(1,r_st!G20)),RAND()),0)</f>
        <v/>
      </c>
      <c r="H20">
        <f>IFERROR(_xlfn.BINOM.INV(MAX(0,z!H19+o!H19+ca!H19+cb!H19),MAX(0,MIN(1,r_st!H20)),RAND()),0)</f>
        <v/>
      </c>
      <c r="I20">
        <f>IFERROR(_xlfn.BINOM.INV(MAX(0,z!I19+o!I19+ca!I19+cb!I19),MAX(0,MIN(1,r_st!I20)),RAND()),0)</f>
        <v/>
      </c>
      <c r="J20">
        <f>IFERROR(_xlfn.BINOM.INV(MAX(0,z!J19+o!J19+ca!J19+cb!J19),MAX(0,MIN(1,r_st!J20)),RAND()),0)</f>
        <v/>
      </c>
      <c r="K20">
        <f>IFERROR(_xlfn.BINOM.INV(MAX(0,z!K19+o!K19+ca!K19+cb!K19),MAX(0,MIN(1,r_st!K20)),RAND()),0)</f>
        <v/>
      </c>
    </row>
    <row r="21">
      <c r="A21" t="n">
        <v>19</v>
      </c>
      <c r="B21" t="n">
        <v>0</v>
      </c>
      <c r="C21">
        <f>IFERROR(_xlfn.BINOM.INV(MAX(0,z!C20+o!C20+ca!C20+cb!C20),MAX(0,MIN(1,r_st!C21)),RAND()),0)</f>
        <v/>
      </c>
      <c r="D21">
        <f>IFERROR(_xlfn.BINOM.INV(MAX(0,z!D20+o!D20+ca!D20+cb!D20),MAX(0,MIN(1,r_st!D21)),RAND()),0)</f>
        <v/>
      </c>
      <c r="E21">
        <f>IFERROR(_xlfn.BINOM.INV(MAX(0,z!E20+o!E20+ca!E20+cb!E20),MAX(0,MIN(1,r_st!E21)),RAND()),0)</f>
        <v/>
      </c>
      <c r="F21">
        <f>IFERROR(_xlfn.BINOM.INV(MAX(0,z!F20+o!F20+ca!F20+cb!F20),MAX(0,MIN(1,r_st!F21)),RAND()),0)</f>
        <v/>
      </c>
      <c r="G21">
        <f>IFERROR(_xlfn.BINOM.INV(MAX(0,z!G20+o!G20+ca!G20+cb!G20),MAX(0,MIN(1,r_st!G21)),RAND()),0)</f>
        <v/>
      </c>
      <c r="H21">
        <f>IFERROR(_xlfn.BINOM.INV(MAX(0,z!H20+o!H20+ca!H20+cb!H20),MAX(0,MIN(1,r_st!H21)),RAND()),0)</f>
        <v/>
      </c>
      <c r="I21">
        <f>IFERROR(_xlfn.BINOM.INV(MAX(0,z!I20+o!I20+ca!I20+cb!I20),MAX(0,MIN(1,r_st!I21)),RAND()),0)</f>
        <v/>
      </c>
      <c r="J21">
        <f>IFERROR(_xlfn.BINOM.INV(MAX(0,z!J20+o!J20+ca!J20+cb!J20),MAX(0,MIN(1,r_st!J21)),RAND()),0)</f>
        <v/>
      </c>
      <c r="K21">
        <f>IFERROR(_xlfn.BINOM.INV(MAX(0,z!K20+o!K20+ca!K20+cb!K20),MAX(0,MIN(1,r_st!K21)),RAND()),0)</f>
        <v/>
      </c>
    </row>
    <row r="22">
      <c r="A22" t="n">
        <v>20</v>
      </c>
      <c r="B22" t="n">
        <v>0</v>
      </c>
      <c r="C22">
        <f>IFERROR(_xlfn.BINOM.INV(MAX(0,z!C21+o!C21+ca!C21+cb!C21),MAX(0,MIN(1,r_st!C22)),RAND()),0)</f>
        <v/>
      </c>
      <c r="D22">
        <f>IFERROR(_xlfn.BINOM.INV(MAX(0,z!D21+o!D21+ca!D21+cb!D21),MAX(0,MIN(1,r_st!D22)),RAND()),0)</f>
        <v/>
      </c>
      <c r="E22">
        <f>IFERROR(_xlfn.BINOM.INV(MAX(0,z!E21+o!E21+ca!E21+cb!E21),MAX(0,MIN(1,r_st!E22)),RAND()),0)</f>
        <v/>
      </c>
      <c r="F22">
        <f>IFERROR(_xlfn.BINOM.INV(MAX(0,z!F21+o!F21+ca!F21+cb!F21),MAX(0,MIN(1,r_st!F22)),RAND()),0)</f>
        <v/>
      </c>
      <c r="G22">
        <f>IFERROR(_xlfn.BINOM.INV(MAX(0,z!G21+o!G21+ca!G21+cb!G21),MAX(0,MIN(1,r_st!G22)),RAND()),0)</f>
        <v/>
      </c>
      <c r="H22">
        <f>IFERROR(_xlfn.BINOM.INV(MAX(0,z!H21+o!H21+ca!H21+cb!H21),MAX(0,MIN(1,r_st!H22)),RAND()),0)</f>
        <v/>
      </c>
      <c r="I22">
        <f>IFERROR(_xlfn.BINOM.INV(MAX(0,z!I21+o!I21+ca!I21+cb!I21),MAX(0,MIN(1,r_st!I22)),RAND()),0)</f>
        <v/>
      </c>
      <c r="J22">
        <f>IFERROR(_xlfn.BINOM.INV(MAX(0,z!J21+o!J21+ca!J21+cb!J21),MAX(0,MIN(1,r_st!J22)),RAND()),0)</f>
        <v/>
      </c>
      <c r="K22">
        <f>IFERROR(_xlfn.BINOM.INV(MAX(0,z!K21+o!K21+ca!K21+cb!K21),MAX(0,MIN(1,r_st!K22)),RAND()),0)</f>
        <v/>
      </c>
    </row>
    <row r="23">
      <c r="A23" t="n">
        <v>21</v>
      </c>
      <c r="B23" t="n">
        <v>0</v>
      </c>
      <c r="C23">
        <f>IFERROR(_xlfn.BINOM.INV(MAX(0,z!C22+o!C22+ca!C22+cb!C22),MAX(0,MIN(1,r_st!C23)),RAND()),0)</f>
        <v/>
      </c>
      <c r="D23">
        <f>IFERROR(_xlfn.BINOM.INV(MAX(0,z!D22+o!D22+ca!D22+cb!D22),MAX(0,MIN(1,r_st!D23)),RAND()),0)</f>
        <v/>
      </c>
      <c r="E23">
        <f>IFERROR(_xlfn.BINOM.INV(MAX(0,z!E22+o!E22+ca!E22+cb!E22),MAX(0,MIN(1,r_st!E23)),RAND()),0)</f>
        <v/>
      </c>
      <c r="F23">
        <f>IFERROR(_xlfn.BINOM.INV(MAX(0,z!F22+o!F22+ca!F22+cb!F22),MAX(0,MIN(1,r_st!F23)),RAND()),0)</f>
        <v/>
      </c>
      <c r="G23">
        <f>IFERROR(_xlfn.BINOM.INV(MAX(0,z!G22+o!G22+ca!G22+cb!G22),MAX(0,MIN(1,r_st!G23)),RAND()),0)</f>
        <v/>
      </c>
      <c r="H23">
        <f>IFERROR(_xlfn.BINOM.INV(MAX(0,z!H22+o!H22+ca!H22+cb!H22),MAX(0,MIN(1,r_st!H23)),RAND()),0)</f>
        <v/>
      </c>
      <c r="I23">
        <f>IFERROR(_xlfn.BINOM.INV(MAX(0,z!I22+o!I22+ca!I22+cb!I22),MAX(0,MIN(1,r_st!I23)),RAND()),0)</f>
        <v/>
      </c>
      <c r="J23">
        <f>IFERROR(_xlfn.BINOM.INV(MAX(0,z!J22+o!J22+ca!J22+cb!J22),MAX(0,MIN(1,r_st!J23)),RAND()),0)</f>
        <v/>
      </c>
      <c r="K23">
        <f>IFERROR(_xlfn.BINOM.INV(MAX(0,z!K22+o!K22+ca!K22+cb!K22),MAX(0,MIN(1,r_st!K23)),RAND()),0)</f>
        <v/>
      </c>
    </row>
    <row r="24">
      <c r="A24" t="n">
        <v>22</v>
      </c>
      <c r="B24" t="n">
        <v>0</v>
      </c>
      <c r="C24">
        <f>IFERROR(_xlfn.BINOM.INV(MAX(0,z!C23+o!C23+ca!C23+cb!C23),MAX(0,MIN(1,r_st!C24)),RAND()),0)</f>
        <v/>
      </c>
      <c r="D24">
        <f>IFERROR(_xlfn.BINOM.INV(MAX(0,z!D23+o!D23+ca!D23+cb!D23),MAX(0,MIN(1,r_st!D24)),RAND()),0)</f>
        <v/>
      </c>
      <c r="E24">
        <f>IFERROR(_xlfn.BINOM.INV(MAX(0,z!E23+o!E23+ca!E23+cb!E23),MAX(0,MIN(1,r_st!E24)),RAND()),0)</f>
        <v/>
      </c>
      <c r="F24">
        <f>IFERROR(_xlfn.BINOM.INV(MAX(0,z!F23+o!F23+ca!F23+cb!F23),MAX(0,MIN(1,r_st!F24)),RAND()),0)</f>
        <v/>
      </c>
      <c r="G24">
        <f>IFERROR(_xlfn.BINOM.INV(MAX(0,z!G23+o!G23+ca!G23+cb!G23),MAX(0,MIN(1,r_st!G24)),RAND()),0)</f>
        <v/>
      </c>
      <c r="H24">
        <f>IFERROR(_xlfn.BINOM.INV(MAX(0,z!H23+o!H23+ca!H23+cb!H23),MAX(0,MIN(1,r_st!H24)),RAND()),0)</f>
        <v/>
      </c>
      <c r="I24">
        <f>IFERROR(_xlfn.BINOM.INV(MAX(0,z!I23+o!I23+ca!I23+cb!I23),MAX(0,MIN(1,r_st!I24)),RAND()),0)</f>
        <v/>
      </c>
      <c r="J24">
        <f>IFERROR(_xlfn.BINOM.INV(MAX(0,z!J23+o!J23+ca!J23+cb!J23),MAX(0,MIN(1,r_st!J24)),RAND()),0)</f>
        <v/>
      </c>
      <c r="K24">
        <f>IFERROR(_xlfn.BINOM.INV(MAX(0,z!K23+o!K23+ca!K23+cb!K23),MAX(0,MIN(1,r_st!K24)),RAND()),0)</f>
        <v/>
      </c>
    </row>
    <row r="25">
      <c r="A25" t="n">
        <v>23</v>
      </c>
      <c r="B25" t="n">
        <v>0</v>
      </c>
      <c r="C25">
        <f>IFERROR(_xlfn.BINOM.INV(MAX(0,z!C24+o!C24+ca!C24+cb!C24),MAX(0,MIN(1,r_st!C25)),RAND()),0)</f>
        <v/>
      </c>
      <c r="D25">
        <f>IFERROR(_xlfn.BINOM.INV(MAX(0,z!D24+o!D24+ca!D24+cb!D24),MAX(0,MIN(1,r_st!D25)),RAND()),0)</f>
        <v/>
      </c>
      <c r="E25">
        <f>IFERROR(_xlfn.BINOM.INV(MAX(0,z!E24+o!E24+ca!E24+cb!E24),MAX(0,MIN(1,r_st!E25)),RAND()),0)</f>
        <v/>
      </c>
      <c r="F25">
        <f>IFERROR(_xlfn.BINOM.INV(MAX(0,z!F24+o!F24+ca!F24+cb!F24),MAX(0,MIN(1,r_st!F25)),RAND()),0)</f>
        <v/>
      </c>
      <c r="G25">
        <f>IFERROR(_xlfn.BINOM.INV(MAX(0,z!G24+o!G24+ca!G24+cb!G24),MAX(0,MIN(1,r_st!G25)),RAND()),0)</f>
        <v/>
      </c>
      <c r="H25">
        <f>IFERROR(_xlfn.BINOM.INV(MAX(0,z!H24+o!H24+ca!H24+cb!H24),MAX(0,MIN(1,r_st!H25)),RAND()),0)</f>
        <v/>
      </c>
      <c r="I25">
        <f>IFERROR(_xlfn.BINOM.INV(MAX(0,z!I24+o!I24+ca!I24+cb!I24),MAX(0,MIN(1,r_st!I25)),RAND()),0)</f>
        <v/>
      </c>
      <c r="J25">
        <f>IFERROR(_xlfn.BINOM.INV(MAX(0,z!J24+o!J24+ca!J24+cb!J24),MAX(0,MIN(1,r_st!J25)),RAND()),0)</f>
        <v/>
      </c>
      <c r="K25">
        <f>IFERROR(_xlfn.BINOM.INV(MAX(0,z!K24+o!K24+ca!K24+cb!K24),MAX(0,MIN(1,r_st!K25)),RAND()),0)</f>
        <v/>
      </c>
    </row>
    <row r="26">
      <c r="A26" t="n">
        <v>24</v>
      </c>
      <c r="B26" t="n">
        <v>0</v>
      </c>
      <c r="C26">
        <f>IFERROR(_xlfn.BINOM.INV(MAX(0,z!C25+o!C25+ca!C25+cb!C25),MAX(0,MIN(1,r_st!C26)),RAND()),0)</f>
        <v/>
      </c>
      <c r="D26">
        <f>IFERROR(_xlfn.BINOM.INV(MAX(0,z!D25+o!D25+ca!D25+cb!D25),MAX(0,MIN(1,r_st!D26)),RAND()),0)</f>
        <v/>
      </c>
      <c r="E26">
        <f>IFERROR(_xlfn.BINOM.INV(MAX(0,z!E25+o!E25+ca!E25+cb!E25),MAX(0,MIN(1,r_st!E26)),RAND()),0)</f>
        <v/>
      </c>
      <c r="F26">
        <f>IFERROR(_xlfn.BINOM.INV(MAX(0,z!F25+o!F25+ca!F25+cb!F25),MAX(0,MIN(1,r_st!F26)),RAND()),0)</f>
        <v/>
      </c>
      <c r="G26">
        <f>IFERROR(_xlfn.BINOM.INV(MAX(0,z!G25+o!G25+ca!G25+cb!G25),MAX(0,MIN(1,r_st!G26)),RAND()),0)</f>
        <v/>
      </c>
      <c r="H26">
        <f>IFERROR(_xlfn.BINOM.INV(MAX(0,z!H25+o!H25+ca!H25+cb!H25),MAX(0,MIN(1,r_st!H26)),RAND()),0)</f>
        <v/>
      </c>
      <c r="I26">
        <f>IFERROR(_xlfn.BINOM.INV(MAX(0,z!I25+o!I25+ca!I25+cb!I25),MAX(0,MIN(1,r_st!I26)),RAND()),0)</f>
        <v/>
      </c>
      <c r="J26">
        <f>IFERROR(_xlfn.BINOM.INV(MAX(0,z!J25+o!J25+ca!J25+cb!J25),MAX(0,MIN(1,r_st!J26)),RAND()),0)</f>
        <v/>
      </c>
      <c r="K26">
        <f>IFERROR(_xlfn.BINOM.INV(MAX(0,z!K25+o!K25+ca!K25+cb!K25),MAX(0,MIN(1,r_st!K26)),RAND()),0)</f>
        <v/>
      </c>
    </row>
    <row r="27">
      <c r="A27" t="n">
        <v>25</v>
      </c>
      <c r="B27" t="n">
        <v>0</v>
      </c>
      <c r="C27">
        <f>IFERROR(_xlfn.BINOM.INV(MAX(0,z!C26+o!C26+ca!C26+cb!C26),MAX(0,MIN(1,r_st!C27)),RAND()),0)</f>
        <v/>
      </c>
      <c r="D27">
        <f>IFERROR(_xlfn.BINOM.INV(MAX(0,z!D26+o!D26+ca!D26+cb!D26),MAX(0,MIN(1,r_st!D27)),RAND()),0)</f>
        <v/>
      </c>
      <c r="E27">
        <f>IFERROR(_xlfn.BINOM.INV(MAX(0,z!E26+o!E26+ca!E26+cb!E26),MAX(0,MIN(1,r_st!E27)),RAND()),0)</f>
        <v/>
      </c>
      <c r="F27">
        <f>IFERROR(_xlfn.BINOM.INV(MAX(0,z!F26+o!F26+ca!F26+cb!F26),MAX(0,MIN(1,r_st!F27)),RAND()),0)</f>
        <v/>
      </c>
      <c r="G27">
        <f>IFERROR(_xlfn.BINOM.INV(MAX(0,z!G26+o!G26+ca!G26+cb!G26),MAX(0,MIN(1,r_st!G27)),RAND()),0)</f>
        <v/>
      </c>
      <c r="H27">
        <f>IFERROR(_xlfn.BINOM.INV(MAX(0,z!H26+o!H26+ca!H26+cb!H26),MAX(0,MIN(1,r_st!H27)),RAND()),0)</f>
        <v/>
      </c>
      <c r="I27">
        <f>IFERROR(_xlfn.BINOM.INV(MAX(0,z!I26+o!I26+ca!I26+cb!I26),MAX(0,MIN(1,r_st!I27)),RAND()),0)</f>
        <v/>
      </c>
      <c r="J27">
        <f>IFERROR(_xlfn.BINOM.INV(MAX(0,z!J26+o!J26+ca!J26+cb!J26),MAX(0,MIN(1,r_st!J27)),RAND()),0)</f>
        <v/>
      </c>
      <c r="K27">
        <f>IFERROR(_xlfn.BINOM.INV(MAX(0,z!K26+o!K26+ca!K26+cb!K26),MAX(0,MIN(1,r_st!K27)),RAND()),0)</f>
        <v/>
      </c>
    </row>
    <row r="28">
      <c r="A28" t="n">
        <v>26</v>
      </c>
      <c r="B28" t="n">
        <v>0</v>
      </c>
      <c r="C28">
        <f>IFERROR(_xlfn.BINOM.INV(MAX(0,z!C27+o!C27+ca!C27+cb!C27),MAX(0,MIN(1,r_st!C28)),RAND()),0)</f>
        <v/>
      </c>
      <c r="D28">
        <f>IFERROR(_xlfn.BINOM.INV(MAX(0,z!D27+o!D27+ca!D27+cb!D27),MAX(0,MIN(1,r_st!D28)),RAND()),0)</f>
        <v/>
      </c>
      <c r="E28">
        <f>IFERROR(_xlfn.BINOM.INV(MAX(0,z!E27+o!E27+ca!E27+cb!E27),MAX(0,MIN(1,r_st!E28)),RAND()),0)</f>
        <v/>
      </c>
      <c r="F28">
        <f>IFERROR(_xlfn.BINOM.INV(MAX(0,z!F27+o!F27+ca!F27+cb!F27),MAX(0,MIN(1,r_st!F28)),RAND()),0)</f>
        <v/>
      </c>
      <c r="G28">
        <f>IFERROR(_xlfn.BINOM.INV(MAX(0,z!G27+o!G27+ca!G27+cb!G27),MAX(0,MIN(1,r_st!G28)),RAND()),0)</f>
        <v/>
      </c>
      <c r="H28">
        <f>IFERROR(_xlfn.BINOM.INV(MAX(0,z!H27+o!H27+ca!H27+cb!H27),MAX(0,MIN(1,r_st!H28)),RAND()),0)</f>
        <v/>
      </c>
      <c r="I28">
        <f>IFERROR(_xlfn.BINOM.INV(MAX(0,z!I27+o!I27+ca!I27+cb!I27),MAX(0,MIN(1,r_st!I28)),RAND()),0)</f>
        <v/>
      </c>
      <c r="J28">
        <f>IFERROR(_xlfn.BINOM.INV(MAX(0,z!J27+o!J27+ca!J27+cb!J27),MAX(0,MIN(1,r_st!J28)),RAND()),0)</f>
        <v/>
      </c>
      <c r="K28">
        <f>IFERROR(_xlfn.BINOM.INV(MAX(0,z!K27+o!K27+ca!K27+cb!K27),MAX(0,MIN(1,r_st!K28)),RAND()),0)</f>
        <v/>
      </c>
    </row>
    <row r="29">
      <c r="A29" t="n">
        <v>27</v>
      </c>
      <c r="B29" t="n">
        <v>0</v>
      </c>
      <c r="C29">
        <f>IFERROR(_xlfn.BINOM.INV(MAX(0,z!C28+o!C28+ca!C28+cb!C28),MAX(0,MIN(1,r_st!C29)),RAND()),0)</f>
        <v/>
      </c>
      <c r="D29">
        <f>IFERROR(_xlfn.BINOM.INV(MAX(0,z!D28+o!D28+ca!D28+cb!D28),MAX(0,MIN(1,r_st!D29)),RAND()),0)</f>
        <v/>
      </c>
      <c r="E29">
        <f>IFERROR(_xlfn.BINOM.INV(MAX(0,z!E28+o!E28+ca!E28+cb!E28),MAX(0,MIN(1,r_st!E29)),RAND()),0)</f>
        <v/>
      </c>
      <c r="F29">
        <f>IFERROR(_xlfn.BINOM.INV(MAX(0,z!F28+o!F28+ca!F28+cb!F28),MAX(0,MIN(1,r_st!F29)),RAND()),0)</f>
        <v/>
      </c>
      <c r="G29">
        <f>IFERROR(_xlfn.BINOM.INV(MAX(0,z!G28+o!G28+ca!G28+cb!G28),MAX(0,MIN(1,r_st!G29)),RAND()),0)</f>
        <v/>
      </c>
      <c r="H29">
        <f>IFERROR(_xlfn.BINOM.INV(MAX(0,z!H28+o!H28+ca!H28+cb!H28),MAX(0,MIN(1,r_st!H29)),RAND()),0)</f>
        <v/>
      </c>
      <c r="I29">
        <f>IFERROR(_xlfn.BINOM.INV(MAX(0,z!I28+o!I28+ca!I28+cb!I28),MAX(0,MIN(1,r_st!I29)),RAND()),0)</f>
        <v/>
      </c>
      <c r="J29">
        <f>IFERROR(_xlfn.BINOM.INV(MAX(0,z!J28+o!J28+ca!J28+cb!J28),MAX(0,MIN(1,r_st!J29)),RAND()),0)</f>
        <v/>
      </c>
      <c r="K29">
        <f>IFERROR(_xlfn.BINOM.INV(MAX(0,z!K28+o!K28+ca!K28+cb!K28),MAX(0,MIN(1,r_st!K29)),RAND()),0)</f>
        <v/>
      </c>
    </row>
    <row r="30">
      <c r="A30" t="n">
        <v>28</v>
      </c>
      <c r="B30" t="n">
        <v>0</v>
      </c>
      <c r="C30">
        <f>IFERROR(_xlfn.BINOM.INV(MAX(0,z!C29+o!C29+ca!C29+cb!C29),MAX(0,MIN(1,r_st!C30)),RAND()),0)</f>
        <v/>
      </c>
      <c r="D30">
        <f>IFERROR(_xlfn.BINOM.INV(MAX(0,z!D29+o!D29+ca!D29+cb!D29),MAX(0,MIN(1,r_st!D30)),RAND()),0)</f>
        <v/>
      </c>
      <c r="E30">
        <f>IFERROR(_xlfn.BINOM.INV(MAX(0,z!E29+o!E29+ca!E29+cb!E29),MAX(0,MIN(1,r_st!E30)),RAND()),0)</f>
        <v/>
      </c>
      <c r="F30">
        <f>IFERROR(_xlfn.BINOM.INV(MAX(0,z!F29+o!F29+ca!F29+cb!F29),MAX(0,MIN(1,r_st!F30)),RAND()),0)</f>
        <v/>
      </c>
      <c r="G30">
        <f>IFERROR(_xlfn.BINOM.INV(MAX(0,z!G29+o!G29+ca!G29+cb!G29),MAX(0,MIN(1,r_st!G30)),RAND()),0)</f>
        <v/>
      </c>
      <c r="H30">
        <f>IFERROR(_xlfn.BINOM.INV(MAX(0,z!H29+o!H29+ca!H29+cb!H29),MAX(0,MIN(1,r_st!H30)),RAND()),0)</f>
        <v/>
      </c>
      <c r="I30">
        <f>IFERROR(_xlfn.BINOM.INV(MAX(0,z!I29+o!I29+ca!I29+cb!I29),MAX(0,MIN(1,r_st!I30)),RAND()),0)</f>
        <v/>
      </c>
      <c r="J30">
        <f>IFERROR(_xlfn.BINOM.INV(MAX(0,z!J29+o!J29+ca!J29+cb!J29),MAX(0,MIN(1,r_st!J30)),RAND()),0)</f>
        <v/>
      </c>
      <c r="K30">
        <f>IFERROR(_xlfn.BINOM.INV(MAX(0,z!K29+o!K29+ca!K29+cb!K29),MAX(0,MIN(1,r_st!K30)),RAND()),0)</f>
        <v/>
      </c>
    </row>
    <row r="31">
      <c r="A31" t="n">
        <v>29</v>
      </c>
      <c r="B31" t="n">
        <v>0</v>
      </c>
      <c r="C31">
        <f>IFERROR(_xlfn.BINOM.INV(MAX(0,z!C30+o!C30+ca!C30+cb!C30),MAX(0,MIN(1,r_st!C31)),RAND()),0)</f>
        <v/>
      </c>
      <c r="D31">
        <f>IFERROR(_xlfn.BINOM.INV(MAX(0,z!D30+o!D30+ca!D30+cb!D30),MAX(0,MIN(1,r_st!D31)),RAND()),0)</f>
        <v/>
      </c>
      <c r="E31">
        <f>IFERROR(_xlfn.BINOM.INV(MAX(0,z!E30+o!E30+ca!E30+cb!E30),MAX(0,MIN(1,r_st!E31)),RAND()),0)</f>
        <v/>
      </c>
      <c r="F31">
        <f>IFERROR(_xlfn.BINOM.INV(MAX(0,z!F30+o!F30+ca!F30+cb!F30),MAX(0,MIN(1,r_st!F31)),RAND()),0)</f>
        <v/>
      </c>
      <c r="G31">
        <f>IFERROR(_xlfn.BINOM.INV(MAX(0,z!G30+o!G30+ca!G30+cb!G30),MAX(0,MIN(1,r_st!G31)),RAND()),0)</f>
        <v/>
      </c>
      <c r="H31">
        <f>IFERROR(_xlfn.BINOM.INV(MAX(0,z!H30+o!H30+ca!H30+cb!H30),MAX(0,MIN(1,r_st!H31)),RAND()),0)</f>
        <v/>
      </c>
      <c r="I31">
        <f>IFERROR(_xlfn.BINOM.INV(MAX(0,z!I30+o!I30+ca!I30+cb!I30),MAX(0,MIN(1,r_st!I31)),RAND()),0)</f>
        <v/>
      </c>
      <c r="J31">
        <f>IFERROR(_xlfn.BINOM.INV(MAX(0,z!J30+o!J30+ca!J30+cb!J30),MAX(0,MIN(1,r_st!J31)),RAND()),0)</f>
        <v/>
      </c>
      <c r="K31">
        <f>IFERROR(_xlfn.BINOM.INV(MAX(0,z!K30+o!K30+ca!K30+cb!K30),MAX(0,MIN(1,r_st!K31)),RAND()),0)</f>
        <v/>
      </c>
    </row>
    <row r="32">
      <c r="A32" t="n">
        <v>30</v>
      </c>
      <c r="B32" t="n">
        <v>0</v>
      </c>
      <c r="C32">
        <f>IFERROR(_xlfn.BINOM.INV(MAX(0,z!C31+o!C31+ca!C31+cb!C31),MAX(0,MIN(1,r_st!C32)),RAND()),0)</f>
        <v/>
      </c>
      <c r="D32">
        <f>IFERROR(_xlfn.BINOM.INV(MAX(0,z!D31+o!D31+ca!D31+cb!D31),MAX(0,MIN(1,r_st!D32)),RAND()),0)</f>
        <v/>
      </c>
      <c r="E32">
        <f>IFERROR(_xlfn.BINOM.INV(MAX(0,z!E31+o!E31+ca!E31+cb!E31),MAX(0,MIN(1,r_st!E32)),RAND()),0)</f>
        <v/>
      </c>
      <c r="F32">
        <f>IFERROR(_xlfn.BINOM.INV(MAX(0,z!F31+o!F31+ca!F31+cb!F31),MAX(0,MIN(1,r_st!F32)),RAND()),0)</f>
        <v/>
      </c>
      <c r="G32">
        <f>IFERROR(_xlfn.BINOM.INV(MAX(0,z!G31+o!G31+ca!G31+cb!G31),MAX(0,MIN(1,r_st!G32)),RAND()),0)</f>
        <v/>
      </c>
      <c r="H32">
        <f>IFERROR(_xlfn.BINOM.INV(MAX(0,z!H31+o!H31+ca!H31+cb!H31),MAX(0,MIN(1,r_st!H32)),RAND()),0)</f>
        <v/>
      </c>
      <c r="I32">
        <f>IFERROR(_xlfn.BINOM.INV(MAX(0,z!I31+o!I31+ca!I31+cb!I31),MAX(0,MIN(1,r_st!I32)),RAND()),0)</f>
        <v/>
      </c>
      <c r="J32">
        <f>IFERROR(_xlfn.BINOM.INV(MAX(0,z!J31+o!J31+ca!J31+cb!J31),MAX(0,MIN(1,r_st!J32)),RAND()),0)</f>
        <v/>
      </c>
      <c r="K32">
        <f>IFERROR(_xlfn.BINOM.INV(MAX(0,z!K31+o!K31+ca!K31+cb!K31),MAX(0,MIN(1,r_st!K32)),RAND()),0)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t \ a</t>
        </is>
      </c>
      <c r="B1" s="1" t="inlineStr">
        <is>
          <t>a=1</t>
        </is>
      </c>
      <c r="C1" s="1" t="inlineStr">
        <is>
          <t>a=2</t>
        </is>
      </c>
      <c r="D1" s="1" t="inlineStr">
        <is>
          <t>a=3</t>
        </is>
      </c>
      <c r="E1" s="1" t="inlineStr">
        <is>
          <t>a=4</t>
        </is>
      </c>
      <c r="F1" s="1" t="inlineStr">
        <is>
          <t>a=5</t>
        </is>
      </c>
      <c r="G1" s="1" t="inlineStr">
        <is>
          <t>a=6</t>
        </is>
      </c>
      <c r="H1" s="1" t="inlineStr">
        <is>
          <t>a=7</t>
        </is>
      </c>
      <c r="I1" s="1" t="inlineStr">
        <is>
          <t>a=8</t>
        </is>
      </c>
      <c r="J1" s="1" t="inlineStr">
        <is>
          <t>a=9</t>
        </is>
      </c>
      <c r="K1" s="1" t="inlineStr">
        <is>
          <t>a=10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>
        <f>IF(urodz!C3&lt;=0,0,IFERROR(_xlfn.BINOM.INV(urodz!C3,MAX(0,MIN(1,IFERROR((ca!C2+cb!C2)/MAX(1,z!C2+o!C2+ca!C2+cb!C2),0))),RAND()),0))</f>
        <v/>
      </c>
      <c r="D3">
        <f>IF(urodz!D3&lt;=0,0,IFERROR(_xlfn.BINOM.INV(urodz!D3,MAX(0,MIN(1,IFERROR((ca!D2+cb!D2)/MAX(1,z!D2+o!D2+ca!D2+cb!D2),0))),RAND()),0))</f>
        <v/>
      </c>
      <c r="E3">
        <f>IF(urodz!E3&lt;=0,0,IFERROR(_xlfn.BINOM.INV(urodz!E3,MAX(0,MIN(1,IFERROR((ca!E2+cb!E2)/MAX(1,z!E2+o!E2+ca!E2+cb!E2),0))),RAND()),0))</f>
        <v/>
      </c>
      <c r="F3">
        <f>IF(urodz!F3&lt;=0,0,IFERROR(_xlfn.BINOM.INV(urodz!F3,MAX(0,MIN(1,IFERROR((ca!F2+cb!F2)/MAX(1,z!F2+o!F2+ca!F2+cb!F2),0))),RAND()),0))</f>
        <v/>
      </c>
      <c r="G3">
        <f>IF(urodz!G3&lt;=0,0,IFERROR(_xlfn.BINOM.INV(urodz!G3,MAX(0,MIN(1,IFERROR((ca!G2+cb!G2)/MAX(1,z!G2+o!G2+ca!G2+cb!G2),0))),RAND()),0))</f>
        <v/>
      </c>
      <c r="H3">
        <f>IF(urodz!H3&lt;=0,0,IFERROR(_xlfn.BINOM.INV(urodz!H3,MAX(0,MIN(1,IFERROR((ca!H2+cb!H2)/MAX(1,z!H2+o!H2+ca!H2+cb!H2),0))),RAND()),0))</f>
        <v/>
      </c>
      <c r="I3">
        <f>IF(urodz!I3&lt;=0,0,IFERROR(_xlfn.BINOM.INV(urodz!I3,MAX(0,MIN(1,IFERROR((ca!I2+cb!I2)/MAX(1,z!I2+o!I2+ca!I2+cb!I2),0))),RAND()),0))</f>
        <v/>
      </c>
      <c r="J3">
        <f>IF(urodz!J3&lt;=0,0,IFERROR(_xlfn.BINOM.INV(urodz!J3,MAX(0,MIN(1,IFERROR((ca!J2+cb!J2)/MAX(1,z!J2+o!J2+ca!J2+cb!J2),0))),RAND()),0))</f>
        <v/>
      </c>
      <c r="K3">
        <f>IF(urodz!K3&lt;=0,0,IFERROR(_xlfn.BINOM.INV(urodz!K3,MAX(0,MIN(1,IFERROR((ca!K2+cb!K2)/MAX(1,z!K2+o!K2+ca!K2+cb!K2),0))),RAND()),0))</f>
        <v/>
      </c>
    </row>
    <row r="4">
      <c r="A4" t="n">
        <v>2</v>
      </c>
      <c r="B4" t="n">
        <v>0</v>
      </c>
      <c r="C4">
        <f>IF(urodz!C4&lt;=0,0,IFERROR(_xlfn.BINOM.INV(urodz!C4,MAX(0,MIN(1,IFERROR((ca!C3+cb!C3)/MAX(1,z!C3+o!C3+ca!C3+cb!C3),0))),RAND()),0))</f>
        <v/>
      </c>
      <c r="D4">
        <f>IF(urodz!D4&lt;=0,0,IFERROR(_xlfn.BINOM.INV(urodz!D4,MAX(0,MIN(1,IFERROR((ca!D3+cb!D3)/MAX(1,z!D3+o!D3+ca!D3+cb!D3),0))),RAND()),0))</f>
        <v/>
      </c>
      <c r="E4">
        <f>IF(urodz!E4&lt;=0,0,IFERROR(_xlfn.BINOM.INV(urodz!E4,MAX(0,MIN(1,IFERROR((ca!E3+cb!E3)/MAX(1,z!E3+o!E3+ca!E3+cb!E3),0))),RAND()),0))</f>
        <v/>
      </c>
      <c r="F4">
        <f>IF(urodz!F4&lt;=0,0,IFERROR(_xlfn.BINOM.INV(urodz!F4,MAX(0,MIN(1,IFERROR((ca!F3+cb!F3)/MAX(1,z!F3+o!F3+ca!F3+cb!F3),0))),RAND()),0))</f>
        <v/>
      </c>
      <c r="G4">
        <f>IF(urodz!G4&lt;=0,0,IFERROR(_xlfn.BINOM.INV(urodz!G4,MAX(0,MIN(1,IFERROR((ca!G3+cb!G3)/MAX(1,z!G3+o!G3+ca!G3+cb!G3),0))),RAND()),0))</f>
        <v/>
      </c>
      <c r="H4">
        <f>IF(urodz!H4&lt;=0,0,IFERROR(_xlfn.BINOM.INV(urodz!H4,MAX(0,MIN(1,IFERROR((ca!H3+cb!H3)/MAX(1,z!H3+o!H3+ca!H3+cb!H3),0))),RAND()),0))</f>
        <v/>
      </c>
      <c r="I4">
        <f>IF(urodz!I4&lt;=0,0,IFERROR(_xlfn.BINOM.INV(urodz!I4,MAX(0,MIN(1,IFERROR((ca!I3+cb!I3)/MAX(1,z!I3+o!I3+ca!I3+cb!I3),0))),RAND()),0))</f>
        <v/>
      </c>
      <c r="J4">
        <f>IF(urodz!J4&lt;=0,0,IFERROR(_xlfn.BINOM.INV(urodz!J4,MAX(0,MIN(1,IFERROR((ca!J3+cb!J3)/MAX(1,z!J3+o!J3+ca!J3+cb!J3),0))),RAND()),0))</f>
        <v/>
      </c>
      <c r="K4">
        <f>IF(urodz!K4&lt;=0,0,IFERROR(_xlfn.BINOM.INV(urodz!K4,MAX(0,MIN(1,IFERROR((ca!K3+cb!K3)/MAX(1,z!K3+o!K3+ca!K3+cb!K3),0))),RAND()),0))</f>
        <v/>
      </c>
    </row>
    <row r="5">
      <c r="A5" t="n">
        <v>3</v>
      </c>
      <c r="B5" t="n">
        <v>0</v>
      </c>
      <c r="C5">
        <f>IF(urodz!C5&lt;=0,0,IFERROR(_xlfn.BINOM.INV(urodz!C5,MAX(0,MIN(1,IFERROR((ca!C4+cb!C4)/MAX(1,z!C4+o!C4+ca!C4+cb!C4),0))),RAND()),0))</f>
        <v/>
      </c>
      <c r="D5">
        <f>IF(urodz!D5&lt;=0,0,IFERROR(_xlfn.BINOM.INV(urodz!D5,MAX(0,MIN(1,IFERROR((ca!D4+cb!D4)/MAX(1,z!D4+o!D4+ca!D4+cb!D4),0))),RAND()),0))</f>
        <v/>
      </c>
      <c r="E5">
        <f>IF(urodz!E5&lt;=0,0,IFERROR(_xlfn.BINOM.INV(urodz!E5,MAX(0,MIN(1,IFERROR((ca!E4+cb!E4)/MAX(1,z!E4+o!E4+ca!E4+cb!E4),0))),RAND()),0))</f>
        <v/>
      </c>
      <c r="F5">
        <f>IF(urodz!F5&lt;=0,0,IFERROR(_xlfn.BINOM.INV(urodz!F5,MAX(0,MIN(1,IFERROR((ca!F4+cb!F4)/MAX(1,z!F4+o!F4+ca!F4+cb!F4),0))),RAND()),0))</f>
        <v/>
      </c>
      <c r="G5">
        <f>IF(urodz!G5&lt;=0,0,IFERROR(_xlfn.BINOM.INV(urodz!G5,MAX(0,MIN(1,IFERROR((ca!G4+cb!G4)/MAX(1,z!G4+o!G4+ca!G4+cb!G4),0))),RAND()),0))</f>
        <v/>
      </c>
      <c r="H5">
        <f>IF(urodz!H5&lt;=0,0,IFERROR(_xlfn.BINOM.INV(urodz!H5,MAX(0,MIN(1,IFERROR((ca!H4+cb!H4)/MAX(1,z!H4+o!H4+ca!H4+cb!H4),0))),RAND()),0))</f>
        <v/>
      </c>
      <c r="I5">
        <f>IF(urodz!I5&lt;=0,0,IFERROR(_xlfn.BINOM.INV(urodz!I5,MAX(0,MIN(1,IFERROR((ca!I4+cb!I4)/MAX(1,z!I4+o!I4+ca!I4+cb!I4),0))),RAND()),0))</f>
        <v/>
      </c>
      <c r="J5">
        <f>IF(urodz!J5&lt;=0,0,IFERROR(_xlfn.BINOM.INV(urodz!J5,MAX(0,MIN(1,IFERROR((ca!J4+cb!J4)/MAX(1,z!J4+o!J4+ca!J4+cb!J4),0))),RAND()),0))</f>
        <v/>
      </c>
      <c r="K5">
        <f>IF(urodz!K5&lt;=0,0,IFERROR(_xlfn.BINOM.INV(urodz!K5,MAX(0,MIN(1,IFERROR((ca!K4+cb!K4)/MAX(1,z!K4+o!K4+ca!K4+cb!K4),0))),RAND()),0))</f>
        <v/>
      </c>
    </row>
    <row r="6">
      <c r="A6" t="n">
        <v>4</v>
      </c>
      <c r="B6" t="n">
        <v>0</v>
      </c>
      <c r="C6">
        <f>IF(urodz!C6&lt;=0,0,IFERROR(_xlfn.BINOM.INV(urodz!C6,MAX(0,MIN(1,IFERROR((ca!C5+cb!C5)/MAX(1,z!C5+o!C5+ca!C5+cb!C5),0))),RAND()),0))</f>
        <v/>
      </c>
      <c r="D6">
        <f>IF(urodz!D6&lt;=0,0,IFERROR(_xlfn.BINOM.INV(urodz!D6,MAX(0,MIN(1,IFERROR((ca!D5+cb!D5)/MAX(1,z!D5+o!D5+ca!D5+cb!D5),0))),RAND()),0))</f>
        <v/>
      </c>
      <c r="E6">
        <f>IF(urodz!E6&lt;=0,0,IFERROR(_xlfn.BINOM.INV(urodz!E6,MAX(0,MIN(1,IFERROR((ca!E5+cb!E5)/MAX(1,z!E5+o!E5+ca!E5+cb!E5),0))),RAND()),0))</f>
        <v/>
      </c>
      <c r="F6">
        <f>IF(urodz!F6&lt;=0,0,IFERROR(_xlfn.BINOM.INV(urodz!F6,MAX(0,MIN(1,IFERROR((ca!F5+cb!F5)/MAX(1,z!F5+o!F5+ca!F5+cb!F5),0))),RAND()),0))</f>
        <v/>
      </c>
      <c r="G6">
        <f>IF(urodz!G6&lt;=0,0,IFERROR(_xlfn.BINOM.INV(urodz!G6,MAX(0,MIN(1,IFERROR((ca!G5+cb!G5)/MAX(1,z!G5+o!G5+ca!G5+cb!G5),0))),RAND()),0))</f>
        <v/>
      </c>
      <c r="H6">
        <f>IF(urodz!H6&lt;=0,0,IFERROR(_xlfn.BINOM.INV(urodz!H6,MAX(0,MIN(1,IFERROR((ca!H5+cb!H5)/MAX(1,z!H5+o!H5+ca!H5+cb!H5),0))),RAND()),0))</f>
        <v/>
      </c>
      <c r="I6">
        <f>IF(urodz!I6&lt;=0,0,IFERROR(_xlfn.BINOM.INV(urodz!I6,MAX(0,MIN(1,IFERROR((ca!I5+cb!I5)/MAX(1,z!I5+o!I5+ca!I5+cb!I5),0))),RAND()),0))</f>
        <v/>
      </c>
      <c r="J6">
        <f>IF(urodz!J6&lt;=0,0,IFERROR(_xlfn.BINOM.INV(urodz!J6,MAX(0,MIN(1,IFERROR((ca!J5+cb!J5)/MAX(1,z!J5+o!J5+ca!J5+cb!J5),0))),RAND()),0))</f>
        <v/>
      </c>
      <c r="K6">
        <f>IF(urodz!K6&lt;=0,0,IFERROR(_xlfn.BINOM.INV(urodz!K6,MAX(0,MIN(1,IFERROR((ca!K5+cb!K5)/MAX(1,z!K5+o!K5+ca!K5+cb!K5),0))),RAND()),0))</f>
        <v/>
      </c>
    </row>
    <row r="7">
      <c r="A7" t="n">
        <v>5</v>
      </c>
      <c r="B7" t="n">
        <v>0</v>
      </c>
      <c r="C7">
        <f>IF(urodz!C7&lt;=0,0,IFERROR(_xlfn.BINOM.INV(urodz!C7,MAX(0,MIN(1,IFERROR((ca!C6+cb!C6)/MAX(1,z!C6+o!C6+ca!C6+cb!C6),0))),RAND()),0))</f>
        <v/>
      </c>
      <c r="D7">
        <f>IF(urodz!D7&lt;=0,0,IFERROR(_xlfn.BINOM.INV(urodz!D7,MAX(0,MIN(1,IFERROR((ca!D6+cb!D6)/MAX(1,z!D6+o!D6+ca!D6+cb!D6),0))),RAND()),0))</f>
        <v/>
      </c>
      <c r="E7">
        <f>IF(urodz!E7&lt;=0,0,IFERROR(_xlfn.BINOM.INV(urodz!E7,MAX(0,MIN(1,IFERROR((ca!E6+cb!E6)/MAX(1,z!E6+o!E6+ca!E6+cb!E6),0))),RAND()),0))</f>
        <v/>
      </c>
      <c r="F7">
        <f>IF(urodz!F7&lt;=0,0,IFERROR(_xlfn.BINOM.INV(urodz!F7,MAX(0,MIN(1,IFERROR((ca!F6+cb!F6)/MAX(1,z!F6+o!F6+ca!F6+cb!F6),0))),RAND()),0))</f>
        <v/>
      </c>
      <c r="G7">
        <f>IF(urodz!G7&lt;=0,0,IFERROR(_xlfn.BINOM.INV(urodz!G7,MAX(0,MIN(1,IFERROR((ca!G6+cb!G6)/MAX(1,z!G6+o!G6+ca!G6+cb!G6),0))),RAND()),0))</f>
        <v/>
      </c>
      <c r="H7">
        <f>IF(urodz!H7&lt;=0,0,IFERROR(_xlfn.BINOM.INV(urodz!H7,MAX(0,MIN(1,IFERROR((ca!H6+cb!H6)/MAX(1,z!H6+o!H6+ca!H6+cb!H6),0))),RAND()),0))</f>
        <v/>
      </c>
      <c r="I7">
        <f>IF(urodz!I7&lt;=0,0,IFERROR(_xlfn.BINOM.INV(urodz!I7,MAX(0,MIN(1,IFERROR((ca!I6+cb!I6)/MAX(1,z!I6+o!I6+ca!I6+cb!I6),0))),RAND()),0))</f>
        <v/>
      </c>
      <c r="J7">
        <f>IF(urodz!J7&lt;=0,0,IFERROR(_xlfn.BINOM.INV(urodz!J7,MAX(0,MIN(1,IFERROR((ca!J6+cb!J6)/MAX(1,z!J6+o!J6+ca!J6+cb!J6),0))),RAND()),0))</f>
        <v/>
      </c>
      <c r="K7">
        <f>IF(urodz!K7&lt;=0,0,IFERROR(_xlfn.BINOM.INV(urodz!K7,MAX(0,MIN(1,IFERROR((ca!K6+cb!K6)/MAX(1,z!K6+o!K6+ca!K6+cb!K6),0))),RAND()),0))</f>
        <v/>
      </c>
    </row>
    <row r="8">
      <c r="A8" t="n">
        <v>6</v>
      </c>
      <c r="B8" t="n">
        <v>0</v>
      </c>
      <c r="C8">
        <f>IF(urodz!C8&lt;=0,0,IFERROR(_xlfn.BINOM.INV(urodz!C8,MAX(0,MIN(1,IFERROR((ca!C7+cb!C7)/MAX(1,z!C7+o!C7+ca!C7+cb!C7),0))),RAND()),0))</f>
        <v/>
      </c>
      <c r="D8">
        <f>IF(urodz!D8&lt;=0,0,IFERROR(_xlfn.BINOM.INV(urodz!D8,MAX(0,MIN(1,IFERROR((ca!D7+cb!D7)/MAX(1,z!D7+o!D7+ca!D7+cb!D7),0))),RAND()),0))</f>
        <v/>
      </c>
      <c r="E8">
        <f>IF(urodz!E8&lt;=0,0,IFERROR(_xlfn.BINOM.INV(urodz!E8,MAX(0,MIN(1,IFERROR((ca!E7+cb!E7)/MAX(1,z!E7+o!E7+ca!E7+cb!E7),0))),RAND()),0))</f>
        <v/>
      </c>
      <c r="F8">
        <f>IF(urodz!F8&lt;=0,0,IFERROR(_xlfn.BINOM.INV(urodz!F8,MAX(0,MIN(1,IFERROR((ca!F7+cb!F7)/MAX(1,z!F7+o!F7+ca!F7+cb!F7),0))),RAND()),0))</f>
        <v/>
      </c>
      <c r="G8">
        <f>IF(urodz!G8&lt;=0,0,IFERROR(_xlfn.BINOM.INV(urodz!G8,MAX(0,MIN(1,IFERROR((ca!G7+cb!G7)/MAX(1,z!G7+o!G7+ca!G7+cb!G7),0))),RAND()),0))</f>
        <v/>
      </c>
      <c r="H8">
        <f>IF(urodz!H8&lt;=0,0,IFERROR(_xlfn.BINOM.INV(urodz!H8,MAX(0,MIN(1,IFERROR((ca!H7+cb!H7)/MAX(1,z!H7+o!H7+ca!H7+cb!H7),0))),RAND()),0))</f>
        <v/>
      </c>
      <c r="I8">
        <f>IF(urodz!I8&lt;=0,0,IFERROR(_xlfn.BINOM.INV(urodz!I8,MAX(0,MIN(1,IFERROR((ca!I7+cb!I7)/MAX(1,z!I7+o!I7+ca!I7+cb!I7),0))),RAND()),0))</f>
        <v/>
      </c>
      <c r="J8">
        <f>IF(urodz!J8&lt;=0,0,IFERROR(_xlfn.BINOM.INV(urodz!J8,MAX(0,MIN(1,IFERROR((ca!J7+cb!J7)/MAX(1,z!J7+o!J7+ca!J7+cb!J7),0))),RAND()),0))</f>
        <v/>
      </c>
      <c r="K8">
        <f>IF(urodz!K8&lt;=0,0,IFERROR(_xlfn.BINOM.INV(urodz!K8,MAX(0,MIN(1,IFERROR((ca!K7+cb!K7)/MAX(1,z!K7+o!K7+ca!K7+cb!K7),0))),RAND()),0))</f>
        <v/>
      </c>
    </row>
    <row r="9">
      <c r="A9" t="n">
        <v>7</v>
      </c>
      <c r="B9" t="n">
        <v>0</v>
      </c>
      <c r="C9">
        <f>IF(urodz!C9&lt;=0,0,IFERROR(_xlfn.BINOM.INV(urodz!C9,MAX(0,MIN(1,IFERROR((ca!C8+cb!C8)/MAX(1,z!C8+o!C8+ca!C8+cb!C8),0))),RAND()),0))</f>
        <v/>
      </c>
      <c r="D9">
        <f>IF(urodz!D9&lt;=0,0,IFERROR(_xlfn.BINOM.INV(urodz!D9,MAX(0,MIN(1,IFERROR((ca!D8+cb!D8)/MAX(1,z!D8+o!D8+ca!D8+cb!D8),0))),RAND()),0))</f>
        <v/>
      </c>
      <c r="E9">
        <f>IF(urodz!E9&lt;=0,0,IFERROR(_xlfn.BINOM.INV(urodz!E9,MAX(0,MIN(1,IFERROR((ca!E8+cb!E8)/MAX(1,z!E8+o!E8+ca!E8+cb!E8),0))),RAND()),0))</f>
        <v/>
      </c>
      <c r="F9">
        <f>IF(urodz!F9&lt;=0,0,IFERROR(_xlfn.BINOM.INV(urodz!F9,MAX(0,MIN(1,IFERROR((ca!F8+cb!F8)/MAX(1,z!F8+o!F8+ca!F8+cb!F8),0))),RAND()),0))</f>
        <v/>
      </c>
      <c r="G9">
        <f>IF(urodz!G9&lt;=0,0,IFERROR(_xlfn.BINOM.INV(urodz!G9,MAX(0,MIN(1,IFERROR((ca!G8+cb!G8)/MAX(1,z!G8+o!G8+ca!G8+cb!G8),0))),RAND()),0))</f>
        <v/>
      </c>
      <c r="H9">
        <f>IF(urodz!H9&lt;=0,0,IFERROR(_xlfn.BINOM.INV(urodz!H9,MAX(0,MIN(1,IFERROR((ca!H8+cb!H8)/MAX(1,z!H8+o!H8+ca!H8+cb!H8),0))),RAND()),0))</f>
        <v/>
      </c>
      <c r="I9">
        <f>IF(urodz!I9&lt;=0,0,IFERROR(_xlfn.BINOM.INV(urodz!I9,MAX(0,MIN(1,IFERROR((ca!I8+cb!I8)/MAX(1,z!I8+o!I8+ca!I8+cb!I8),0))),RAND()),0))</f>
        <v/>
      </c>
      <c r="J9">
        <f>IF(urodz!J9&lt;=0,0,IFERROR(_xlfn.BINOM.INV(urodz!J9,MAX(0,MIN(1,IFERROR((ca!J8+cb!J8)/MAX(1,z!J8+o!J8+ca!J8+cb!J8),0))),RAND()),0))</f>
        <v/>
      </c>
      <c r="K9">
        <f>IF(urodz!K9&lt;=0,0,IFERROR(_xlfn.BINOM.INV(urodz!K9,MAX(0,MIN(1,IFERROR((ca!K8+cb!K8)/MAX(1,z!K8+o!K8+ca!K8+cb!K8),0))),RAND()),0))</f>
        <v/>
      </c>
    </row>
    <row r="10">
      <c r="A10" t="n">
        <v>8</v>
      </c>
      <c r="B10" t="n">
        <v>0</v>
      </c>
      <c r="C10">
        <f>IF(urodz!C10&lt;=0,0,IFERROR(_xlfn.BINOM.INV(urodz!C10,MAX(0,MIN(1,IFERROR((ca!C9+cb!C9)/MAX(1,z!C9+o!C9+ca!C9+cb!C9),0))),RAND()),0))</f>
        <v/>
      </c>
      <c r="D10">
        <f>IF(urodz!D10&lt;=0,0,IFERROR(_xlfn.BINOM.INV(urodz!D10,MAX(0,MIN(1,IFERROR((ca!D9+cb!D9)/MAX(1,z!D9+o!D9+ca!D9+cb!D9),0))),RAND()),0))</f>
        <v/>
      </c>
      <c r="E10">
        <f>IF(urodz!E10&lt;=0,0,IFERROR(_xlfn.BINOM.INV(urodz!E10,MAX(0,MIN(1,IFERROR((ca!E9+cb!E9)/MAX(1,z!E9+o!E9+ca!E9+cb!E9),0))),RAND()),0))</f>
        <v/>
      </c>
      <c r="F10">
        <f>IF(urodz!F10&lt;=0,0,IFERROR(_xlfn.BINOM.INV(urodz!F10,MAX(0,MIN(1,IFERROR((ca!F9+cb!F9)/MAX(1,z!F9+o!F9+ca!F9+cb!F9),0))),RAND()),0))</f>
        <v/>
      </c>
      <c r="G10">
        <f>IF(urodz!G10&lt;=0,0,IFERROR(_xlfn.BINOM.INV(urodz!G10,MAX(0,MIN(1,IFERROR((ca!G9+cb!G9)/MAX(1,z!G9+o!G9+ca!G9+cb!G9),0))),RAND()),0))</f>
        <v/>
      </c>
      <c r="H10">
        <f>IF(urodz!H10&lt;=0,0,IFERROR(_xlfn.BINOM.INV(urodz!H10,MAX(0,MIN(1,IFERROR((ca!H9+cb!H9)/MAX(1,z!H9+o!H9+ca!H9+cb!H9),0))),RAND()),0))</f>
        <v/>
      </c>
      <c r="I10">
        <f>IF(urodz!I10&lt;=0,0,IFERROR(_xlfn.BINOM.INV(urodz!I10,MAX(0,MIN(1,IFERROR((ca!I9+cb!I9)/MAX(1,z!I9+o!I9+ca!I9+cb!I9),0))),RAND()),0))</f>
        <v/>
      </c>
      <c r="J10">
        <f>IF(urodz!J10&lt;=0,0,IFERROR(_xlfn.BINOM.INV(urodz!J10,MAX(0,MIN(1,IFERROR((ca!J9+cb!J9)/MAX(1,z!J9+o!J9+ca!J9+cb!J9),0))),RAND()),0))</f>
        <v/>
      </c>
      <c r="K10">
        <f>IF(urodz!K10&lt;=0,0,IFERROR(_xlfn.BINOM.INV(urodz!K10,MAX(0,MIN(1,IFERROR((ca!K9+cb!K9)/MAX(1,z!K9+o!K9+ca!K9+cb!K9),0))),RAND()),0))</f>
        <v/>
      </c>
    </row>
    <row r="11">
      <c r="A11" t="n">
        <v>9</v>
      </c>
      <c r="B11" t="n">
        <v>0</v>
      </c>
      <c r="C11">
        <f>IF(urodz!C11&lt;=0,0,IFERROR(_xlfn.BINOM.INV(urodz!C11,MAX(0,MIN(1,IFERROR((ca!C10+cb!C10)/MAX(1,z!C10+o!C10+ca!C10+cb!C10),0))),RAND()),0))</f>
        <v/>
      </c>
      <c r="D11">
        <f>IF(urodz!D11&lt;=0,0,IFERROR(_xlfn.BINOM.INV(urodz!D11,MAX(0,MIN(1,IFERROR((ca!D10+cb!D10)/MAX(1,z!D10+o!D10+ca!D10+cb!D10),0))),RAND()),0))</f>
        <v/>
      </c>
      <c r="E11">
        <f>IF(urodz!E11&lt;=0,0,IFERROR(_xlfn.BINOM.INV(urodz!E11,MAX(0,MIN(1,IFERROR((ca!E10+cb!E10)/MAX(1,z!E10+o!E10+ca!E10+cb!E10),0))),RAND()),0))</f>
        <v/>
      </c>
      <c r="F11">
        <f>IF(urodz!F11&lt;=0,0,IFERROR(_xlfn.BINOM.INV(urodz!F11,MAX(0,MIN(1,IFERROR((ca!F10+cb!F10)/MAX(1,z!F10+o!F10+ca!F10+cb!F10),0))),RAND()),0))</f>
        <v/>
      </c>
      <c r="G11">
        <f>IF(urodz!G11&lt;=0,0,IFERROR(_xlfn.BINOM.INV(urodz!G11,MAX(0,MIN(1,IFERROR((ca!G10+cb!G10)/MAX(1,z!G10+o!G10+ca!G10+cb!G10),0))),RAND()),0))</f>
        <v/>
      </c>
      <c r="H11">
        <f>IF(urodz!H11&lt;=0,0,IFERROR(_xlfn.BINOM.INV(urodz!H11,MAX(0,MIN(1,IFERROR((ca!H10+cb!H10)/MAX(1,z!H10+o!H10+ca!H10+cb!H10),0))),RAND()),0))</f>
        <v/>
      </c>
      <c r="I11">
        <f>IF(urodz!I11&lt;=0,0,IFERROR(_xlfn.BINOM.INV(urodz!I11,MAX(0,MIN(1,IFERROR((ca!I10+cb!I10)/MAX(1,z!I10+o!I10+ca!I10+cb!I10),0))),RAND()),0))</f>
        <v/>
      </c>
      <c r="J11">
        <f>IF(urodz!J11&lt;=0,0,IFERROR(_xlfn.BINOM.INV(urodz!J11,MAX(0,MIN(1,IFERROR((ca!J10+cb!J10)/MAX(1,z!J10+o!J10+ca!J10+cb!J10),0))),RAND()),0))</f>
        <v/>
      </c>
      <c r="K11">
        <f>IF(urodz!K11&lt;=0,0,IFERROR(_xlfn.BINOM.INV(urodz!K11,MAX(0,MIN(1,IFERROR((ca!K10+cb!K10)/MAX(1,z!K10+o!K10+ca!K10+cb!K10),0))),RAND()),0))</f>
        <v/>
      </c>
    </row>
    <row r="12">
      <c r="A12" t="n">
        <v>10</v>
      </c>
      <c r="B12" t="n">
        <v>0</v>
      </c>
      <c r="C12">
        <f>IF(urodz!C12&lt;=0,0,IFERROR(_xlfn.BINOM.INV(urodz!C12,MAX(0,MIN(1,IFERROR((ca!C11+cb!C11)/MAX(1,z!C11+o!C11+ca!C11+cb!C11),0))),RAND()),0))</f>
        <v/>
      </c>
      <c r="D12">
        <f>IF(urodz!D12&lt;=0,0,IFERROR(_xlfn.BINOM.INV(urodz!D12,MAX(0,MIN(1,IFERROR((ca!D11+cb!D11)/MAX(1,z!D11+o!D11+ca!D11+cb!D11),0))),RAND()),0))</f>
        <v/>
      </c>
      <c r="E12">
        <f>IF(urodz!E12&lt;=0,0,IFERROR(_xlfn.BINOM.INV(urodz!E12,MAX(0,MIN(1,IFERROR((ca!E11+cb!E11)/MAX(1,z!E11+o!E11+ca!E11+cb!E11),0))),RAND()),0))</f>
        <v/>
      </c>
      <c r="F12">
        <f>IF(urodz!F12&lt;=0,0,IFERROR(_xlfn.BINOM.INV(urodz!F12,MAX(0,MIN(1,IFERROR((ca!F11+cb!F11)/MAX(1,z!F11+o!F11+ca!F11+cb!F11),0))),RAND()),0))</f>
        <v/>
      </c>
      <c r="G12">
        <f>IF(urodz!G12&lt;=0,0,IFERROR(_xlfn.BINOM.INV(urodz!G12,MAX(0,MIN(1,IFERROR((ca!G11+cb!G11)/MAX(1,z!G11+o!G11+ca!G11+cb!G11),0))),RAND()),0))</f>
        <v/>
      </c>
      <c r="H12">
        <f>IF(urodz!H12&lt;=0,0,IFERROR(_xlfn.BINOM.INV(urodz!H12,MAX(0,MIN(1,IFERROR((ca!H11+cb!H11)/MAX(1,z!H11+o!H11+ca!H11+cb!H11),0))),RAND()),0))</f>
        <v/>
      </c>
      <c r="I12">
        <f>IF(urodz!I12&lt;=0,0,IFERROR(_xlfn.BINOM.INV(urodz!I12,MAX(0,MIN(1,IFERROR((ca!I11+cb!I11)/MAX(1,z!I11+o!I11+ca!I11+cb!I11),0))),RAND()),0))</f>
        <v/>
      </c>
      <c r="J12">
        <f>IF(urodz!J12&lt;=0,0,IFERROR(_xlfn.BINOM.INV(urodz!J12,MAX(0,MIN(1,IFERROR((ca!J11+cb!J11)/MAX(1,z!J11+o!J11+ca!J11+cb!J11),0))),RAND()),0))</f>
        <v/>
      </c>
      <c r="K12">
        <f>IF(urodz!K12&lt;=0,0,IFERROR(_xlfn.BINOM.INV(urodz!K12,MAX(0,MIN(1,IFERROR((ca!K11+cb!K11)/MAX(1,z!K11+o!K11+ca!K11+cb!K11),0))),RAND()),0))</f>
        <v/>
      </c>
    </row>
    <row r="13">
      <c r="A13" t="n">
        <v>11</v>
      </c>
      <c r="B13" t="n">
        <v>0</v>
      </c>
      <c r="C13">
        <f>IF(urodz!C13&lt;=0,0,IFERROR(_xlfn.BINOM.INV(urodz!C13,MAX(0,MIN(1,IFERROR((ca!C12+cb!C12)/MAX(1,z!C12+o!C12+ca!C12+cb!C12),0))),RAND()),0))</f>
        <v/>
      </c>
      <c r="D13">
        <f>IF(urodz!D13&lt;=0,0,IFERROR(_xlfn.BINOM.INV(urodz!D13,MAX(0,MIN(1,IFERROR((ca!D12+cb!D12)/MAX(1,z!D12+o!D12+ca!D12+cb!D12),0))),RAND()),0))</f>
        <v/>
      </c>
      <c r="E13">
        <f>IF(urodz!E13&lt;=0,0,IFERROR(_xlfn.BINOM.INV(urodz!E13,MAX(0,MIN(1,IFERROR((ca!E12+cb!E12)/MAX(1,z!E12+o!E12+ca!E12+cb!E12),0))),RAND()),0))</f>
        <v/>
      </c>
      <c r="F13">
        <f>IF(urodz!F13&lt;=0,0,IFERROR(_xlfn.BINOM.INV(urodz!F13,MAX(0,MIN(1,IFERROR((ca!F12+cb!F12)/MAX(1,z!F12+o!F12+ca!F12+cb!F12),0))),RAND()),0))</f>
        <v/>
      </c>
      <c r="G13">
        <f>IF(urodz!G13&lt;=0,0,IFERROR(_xlfn.BINOM.INV(urodz!G13,MAX(0,MIN(1,IFERROR((ca!G12+cb!G12)/MAX(1,z!G12+o!G12+ca!G12+cb!G12),0))),RAND()),0))</f>
        <v/>
      </c>
      <c r="H13">
        <f>IF(urodz!H13&lt;=0,0,IFERROR(_xlfn.BINOM.INV(urodz!H13,MAX(0,MIN(1,IFERROR((ca!H12+cb!H12)/MAX(1,z!H12+o!H12+ca!H12+cb!H12),0))),RAND()),0))</f>
        <v/>
      </c>
      <c r="I13">
        <f>IF(urodz!I13&lt;=0,0,IFERROR(_xlfn.BINOM.INV(urodz!I13,MAX(0,MIN(1,IFERROR((ca!I12+cb!I12)/MAX(1,z!I12+o!I12+ca!I12+cb!I12),0))),RAND()),0))</f>
        <v/>
      </c>
      <c r="J13">
        <f>IF(urodz!J13&lt;=0,0,IFERROR(_xlfn.BINOM.INV(urodz!J13,MAX(0,MIN(1,IFERROR((ca!J12+cb!J12)/MAX(1,z!J12+o!J12+ca!J12+cb!J12),0))),RAND()),0))</f>
        <v/>
      </c>
      <c r="K13">
        <f>IF(urodz!K13&lt;=0,0,IFERROR(_xlfn.BINOM.INV(urodz!K13,MAX(0,MIN(1,IFERROR((ca!K12+cb!K12)/MAX(1,z!K12+o!K12+ca!K12+cb!K12),0))),RAND()),0))</f>
        <v/>
      </c>
    </row>
    <row r="14">
      <c r="A14" t="n">
        <v>12</v>
      </c>
      <c r="B14" t="n">
        <v>0</v>
      </c>
      <c r="C14">
        <f>IF(urodz!C14&lt;=0,0,IFERROR(_xlfn.BINOM.INV(urodz!C14,MAX(0,MIN(1,IFERROR((ca!C13+cb!C13)/MAX(1,z!C13+o!C13+ca!C13+cb!C13),0))),RAND()),0))</f>
        <v/>
      </c>
      <c r="D14">
        <f>IF(urodz!D14&lt;=0,0,IFERROR(_xlfn.BINOM.INV(urodz!D14,MAX(0,MIN(1,IFERROR((ca!D13+cb!D13)/MAX(1,z!D13+o!D13+ca!D13+cb!D13),0))),RAND()),0))</f>
        <v/>
      </c>
      <c r="E14">
        <f>IF(urodz!E14&lt;=0,0,IFERROR(_xlfn.BINOM.INV(urodz!E14,MAX(0,MIN(1,IFERROR((ca!E13+cb!E13)/MAX(1,z!E13+o!E13+ca!E13+cb!E13),0))),RAND()),0))</f>
        <v/>
      </c>
      <c r="F14">
        <f>IF(urodz!F14&lt;=0,0,IFERROR(_xlfn.BINOM.INV(urodz!F14,MAX(0,MIN(1,IFERROR((ca!F13+cb!F13)/MAX(1,z!F13+o!F13+ca!F13+cb!F13),0))),RAND()),0))</f>
        <v/>
      </c>
      <c r="G14">
        <f>IF(urodz!G14&lt;=0,0,IFERROR(_xlfn.BINOM.INV(urodz!G14,MAX(0,MIN(1,IFERROR((ca!G13+cb!G13)/MAX(1,z!G13+o!G13+ca!G13+cb!G13),0))),RAND()),0))</f>
        <v/>
      </c>
      <c r="H14">
        <f>IF(urodz!H14&lt;=0,0,IFERROR(_xlfn.BINOM.INV(urodz!H14,MAX(0,MIN(1,IFERROR((ca!H13+cb!H13)/MAX(1,z!H13+o!H13+ca!H13+cb!H13),0))),RAND()),0))</f>
        <v/>
      </c>
      <c r="I14">
        <f>IF(urodz!I14&lt;=0,0,IFERROR(_xlfn.BINOM.INV(urodz!I14,MAX(0,MIN(1,IFERROR((ca!I13+cb!I13)/MAX(1,z!I13+o!I13+ca!I13+cb!I13),0))),RAND()),0))</f>
        <v/>
      </c>
      <c r="J14">
        <f>IF(urodz!J14&lt;=0,0,IFERROR(_xlfn.BINOM.INV(urodz!J14,MAX(0,MIN(1,IFERROR((ca!J13+cb!J13)/MAX(1,z!J13+o!J13+ca!J13+cb!J13),0))),RAND()),0))</f>
        <v/>
      </c>
      <c r="K14">
        <f>IF(urodz!K14&lt;=0,0,IFERROR(_xlfn.BINOM.INV(urodz!K14,MAX(0,MIN(1,IFERROR((ca!K13+cb!K13)/MAX(1,z!K13+o!K13+ca!K13+cb!K13),0))),RAND()),0))</f>
        <v/>
      </c>
    </row>
    <row r="15">
      <c r="A15" t="n">
        <v>13</v>
      </c>
      <c r="B15" t="n">
        <v>0</v>
      </c>
      <c r="C15">
        <f>IF(urodz!C15&lt;=0,0,IFERROR(_xlfn.BINOM.INV(urodz!C15,MAX(0,MIN(1,IFERROR((ca!C14+cb!C14)/MAX(1,z!C14+o!C14+ca!C14+cb!C14),0))),RAND()),0))</f>
        <v/>
      </c>
      <c r="D15">
        <f>IF(urodz!D15&lt;=0,0,IFERROR(_xlfn.BINOM.INV(urodz!D15,MAX(0,MIN(1,IFERROR((ca!D14+cb!D14)/MAX(1,z!D14+o!D14+ca!D14+cb!D14),0))),RAND()),0))</f>
        <v/>
      </c>
      <c r="E15">
        <f>IF(urodz!E15&lt;=0,0,IFERROR(_xlfn.BINOM.INV(urodz!E15,MAX(0,MIN(1,IFERROR((ca!E14+cb!E14)/MAX(1,z!E14+o!E14+ca!E14+cb!E14),0))),RAND()),0))</f>
        <v/>
      </c>
      <c r="F15">
        <f>IF(urodz!F15&lt;=0,0,IFERROR(_xlfn.BINOM.INV(urodz!F15,MAX(0,MIN(1,IFERROR((ca!F14+cb!F14)/MAX(1,z!F14+o!F14+ca!F14+cb!F14),0))),RAND()),0))</f>
        <v/>
      </c>
      <c r="G15">
        <f>IF(urodz!G15&lt;=0,0,IFERROR(_xlfn.BINOM.INV(urodz!G15,MAX(0,MIN(1,IFERROR((ca!G14+cb!G14)/MAX(1,z!G14+o!G14+ca!G14+cb!G14),0))),RAND()),0))</f>
        <v/>
      </c>
      <c r="H15">
        <f>IF(urodz!H15&lt;=0,0,IFERROR(_xlfn.BINOM.INV(urodz!H15,MAX(0,MIN(1,IFERROR((ca!H14+cb!H14)/MAX(1,z!H14+o!H14+ca!H14+cb!H14),0))),RAND()),0))</f>
        <v/>
      </c>
      <c r="I15">
        <f>IF(urodz!I15&lt;=0,0,IFERROR(_xlfn.BINOM.INV(urodz!I15,MAX(0,MIN(1,IFERROR((ca!I14+cb!I14)/MAX(1,z!I14+o!I14+ca!I14+cb!I14),0))),RAND()),0))</f>
        <v/>
      </c>
      <c r="J15">
        <f>IF(urodz!J15&lt;=0,0,IFERROR(_xlfn.BINOM.INV(urodz!J15,MAX(0,MIN(1,IFERROR((ca!J14+cb!J14)/MAX(1,z!J14+o!J14+ca!J14+cb!J14),0))),RAND()),0))</f>
        <v/>
      </c>
      <c r="K15">
        <f>IF(urodz!K15&lt;=0,0,IFERROR(_xlfn.BINOM.INV(urodz!K15,MAX(0,MIN(1,IFERROR((ca!K14+cb!K14)/MAX(1,z!K14+o!K14+ca!K14+cb!K14),0))),RAND()),0))</f>
        <v/>
      </c>
    </row>
    <row r="16">
      <c r="A16" t="n">
        <v>14</v>
      </c>
      <c r="B16" t="n">
        <v>0</v>
      </c>
      <c r="C16">
        <f>IF(urodz!C16&lt;=0,0,IFERROR(_xlfn.BINOM.INV(urodz!C16,MAX(0,MIN(1,IFERROR((ca!C15+cb!C15)/MAX(1,z!C15+o!C15+ca!C15+cb!C15),0))),RAND()),0))</f>
        <v/>
      </c>
      <c r="D16">
        <f>IF(urodz!D16&lt;=0,0,IFERROR(_xlfn.BINOM.INV(urodz!D16,MAX(0,MIN(1,IFERROR((ca!D15+cb!D15)/MAX(1,z!D15+o!D15+ca!D15+cb!D15),0))),RAND()),0))</f>
        <v/>
      </c>
      <c r="E16">
        <f>IF(urodz!E16&lt;=0,0,IFERROR(_xlfn.BINOM.INV(urodz!E16,MAX(0,MIN(1,IFERROR((ca!E15+cb!E15)/MAX(1,z!E15+o!E15+ca!E15+cb!E15),0))),RAND()),0))</f>
        <v/>
      </c>
      <c r="F16">
        <f>IF(urodz!F16&lt;=0,0,IFERROR(_xlfn.BINOM.INV(urodz!F16,MAX(0,MIN(1,IFERROR((ca!F15+cb!F15)/MAX(1,z!F15+o!F15+ca!F15+cb!F15),0))),RAND()),0))</f>
        <v/>
      </c>
      <c r="G16">
        <f>IF(urodz!G16&lt;=0,0,IFERROR(_xlfn.BINOM.INV(urodz!G16,MAX(0,MIN(1,IFERROR((ca!G15+cb!G15)/MAX(1,z!G15+o!G15+ca!G15+cb!G15),0))),RAND()),0))</f>
        <v/>
      </c>
      <c r="H16">
        <f>IF(urodz!H16&lt;=0,0,IFERROR(_xlfn.BINOM.INV(urodz!H16,MAX(0,MIN(1,IFERROR((ca!H15+cb!H15)/MAX(1,z!H15+o!H15+ca!H15+cb!H15),0))),RAND()),0))</f>
        <v/>
      </c>
      <c r="I16">
        <f>IF(urodz!I16&lt;=0,0,IFERROR(_xlfn.BINOM.INV(urodz!I16,MAX(0,MIN(1,IFERROR((ca!I15+cb!I15)/MAX(1,z!I15+o!I15+ca!I15+cb!I15),0))),RAND()),0))</f>
        <v/>
      </c>
      <c r="J16">
        <f>IF(urodz!J16&lt;=0,0,IFERROR(_xlfn.BINOM.INV(urodz!J16,MAX(0,MIN(1,IFERROR((ca!J15+cb!J15)/MAX(1,z!J15+o!J15+ca!J15+cb!J15),0))),RAND()),0))</f>
        <v/>
      </c>
      <c r="K16">
        <f>IF(urodz!K16&lt;=0,0,IFERROR(_xlfn.BINOM.INV(urodz!K16,MAX(0,MIN(1,IFERROR((ca!K15+cb!K15)/MAX(1,z!K15+o!K15+ca!K15+cb!K15),0))),RAND()),0))</f>
        <v/>
      </c>
    </row>
    <row r="17">
      <c r="A17" t="n">
        <v>15</v>
      </c>
      <c r="B17" t="n">
        <v>0</v>
      </c>
      <c r="C17">
        <f>IF(urodz!C17&lt;=0,0,IFERROR(_xlfn.BINOM.INV(urodz!C17,MAX(0,MIN(1,IFERROR((ca!C16+cb!C16)/MAX(1,z!C16+o!C16+ca!C16+cb!C16),0))),RAND()),0))</f>
        <v/>
      </c>
      <c r="D17">
        <f>IF(urodz!D17&lt;=0,0,IFERROR(_xlfn.BINOM.INV(urodz!D17,MAX(0,MIN(1,IFERROR((ca!D16+cb!D16)/MAX(1,z!D16+o!D16+ca!D16+cb!D16),0))),RAND()),0))</f>
        <v/>
      </c>
      <c r="E17">
        <f>IF(urodz!E17&lt;=0,0,IFERROR(_xlfn.BINOM.INV(urodz!E17,MAX(0,MIN(1,IFERROR((ca!E16+cb!E16)/MAX(1,z!E16+o!E16+ca!E16+cb!E16),0))),RAND()),0))</f>
        <v/>
      </c>
      <c r="F17">
        <f>IF(urodz!F17&lt;=0,0,IFERROR(_xlfn.BINOM.INV(urodz!F17,MAX(0,MIN(1,IFERROR((ca!F16+cb!F16)/MAX(1,z!F16+o!F16+ca!F16+cb!F16),0))),RAND()),0))</f>
        <v/>
      </c>
      <c r="G17">
        <f>IF(urodz!G17&lt;=0,0,IFERROR(_xlfn.BINOM.INV(urodz!G17,MAX(0,MIN(1,IFERROR((ca!G16+cb!G16)/MAX(1,z!G16+o!G16+ca!G16+cb!G16),0))),RAND()),0))</f>
        <v/>
      </c>
      <c r="H17">
        <f>IF(urodz!H17&lt;=0,0,IFERROR(_xlfn.BINOM.INV(urodz!H17,MAX(0,MIN(1,IFERROR((ca!H16+cb!H16)/MAX(1,z!H16+o!H16+ca!H16+cb!H16),0))),RAND()),0))</f>
        <v/>
      </c>
      <c r="I17">
        <f>IF(urodz!I17&lt;=0,0,IFERROR(_xlfn.BINOM.INV(urodz!I17,MAX(0,MIN(1,IFERROR((ca!I16+cb!I16)/MAX(1,z!I16+o!I16+ca!I16+cb!I16),0))),RAND()),0))</f>
        <v/>
      </c>
      <c r="J17">
        <f>IF(urodz!J17&lt;=0,0,IFERROR(_xlfn.BINOM.INV(urodz!J17,MAX(0,MIN(1,IFERROR((ca!J16+cb!J16)/MAX(1,z!J16+o!J16+ca!J16+cb!J16),0))),RAND()),0))</f>
        <v/>
      </c>
      <c r="K17">
        <f>IF(urodz!K17&lt;=0,0,IFERROR(_xlfn.BINOM.INV(urodz!K17,MAX(0,MIN(1,IFERROR((ca!K16+cb!K16)/MAX(1,z!K16+o!K16+ca!K16+cb!K16),0))),RAND()),0))</f>
        <v/>
      </c>
    </row>
    <row r="18">
      <c r="A18" t="n">
        <v>16</v>
      </c>
      <c r="B18" t="n">
        <v>0</v>
      </c>
      <c r="C18">
        <f>IF(urodz!C18&lt;=0,0,IFERROR(_xlfn.BINOM.INV(urodz!C18,MAX(0,MIN(1,IFERROR((ca!C17+cb!C17)/MAX(1,z!C17+o!C17+ca!C17+cb!C17),0))),RAND()),0))</f>
        <v/>
      </c>
      <c r="D18">
        <f>IF(urodz!D18&lt;=0,0,IFERROR(_xlfn.BINOM.INV(urodz!D18,MAX(0,MIN(1,IFERROR((ca!D17+cb!D17)/MAX(1,z!D17+o!D17+ca!D17+cb!D17),0))),RAND()),0))</f>
        <v/>
      </c>
      <c r="E18">
        <f>IF(urodz!E18&lt;=0,0,IFERROR(_xlfn.BINOM.INV(urodz!E18,MAX(0,MIN(1,IFERROR((ca!E17+cb!E17)/MAX(1,z!E17+o!E17+ca!E17+cb!E17),0))),RAND()),0))</f>
        <v/>
      </c>
      <c r="F18">
        <f>IF(urodz!F18&lt;=0,0,IFERROR(_xlfn.BINOM.INV(urodz!F18,MAX(0,MIN(1,IFERROR((ca!F17+cb!F17)/MAX(1,z!F17+o!F17+ca!F17+cb!F17),0))),RAND()),0))</f>
        <v/>
      </c>
      <c r="G18">
        <f>IF(urodz!G18&lt;=0,0,IFERROR(_xlfn.BINOM.INV(urodz!G18,MAX(0,MIN(1,IFERROR((ca!G17+cb!G17)/MAX(1,z!G17+o!G17+ca!G17+cb!G17),0))),RAND()),0))</f>
        <v/>
      </c>
      <c r="H18">
        <f>IF(urodz!H18&lt;=0,0,IFERROR(_xlfn.BINOM.INV(urodz!H18,MAX(0,MIN(1,IFERROR((ca!H17+cb!H17)/MAX(1,z!H17+o!H17+ca!H17+cb!H17),0))),RAND()),0))</f>
        <v/>
      </c>
      <c r="I18">
        <f>IF(urodz!I18&lt;=0,0,IFERROR(_xlfn.BINOM.INV(urodz!I18,MAX(0,MIN(1,IFERROR((ca!I17+cb!I17)/MAX(1,z!I17+o!I17+ca!I17+cb!I17),0))),RAND()),0))</f>
        <v/>
      </c>
      <c r="J18">
        <f>IF(urodz!J18&lt;=0,0,IFERROR(_xlfn.BINOM.INV(urodz!J18,MAX(0,MIN(1,IFERROR((ca!J17+cb!J17)/MAX(1,z!J17+o!J17+ca!J17+cb!J17),0))),RAND()),0))</f>
        <v/>
      </c>
      <c r="K18">
        <f>IF(urodz!K18&lt;=0,0,IFERROR(_xlfn.BINOM.INV(urodz!K18,MAX(0,MIN(1,IFERROR((ca!K17+cb!K17)/MAX(1,z!K17+o!K17+ca!K17+cb!K17),0))),RAND()),0))</f>
        <v/>
      </c>
    </row>
    <row r="19">
      <c r="A19" t="n">
        <v>17</v>
      </c>
      <c r="B19" t="n">
        <v>0</v>
      </c>
      <c r="C19">
        <f>IF(urodz!C19&lt;=0,0,IFERROR(_xlfn.BINOM.INV(urodz!C19,MAX(0,MIN(1,IFERROR((ca!C18+cb!C18)/MAX(1,z!C18+o!C18+ca!C18+cb!C18),0))),RAND()),0))</f>
        <v/>
      </c>
      <c r="D19">
        <f>IF(urodz!D19&lt;=0,0,IFERROR(_xlfn.BINOM.INV(urodz!D19,MAX(0,MIN(1,IFERROR((ca!D18+cb!D18)/MAX(1,z!D18+o!D18+ca!D18+cb!D18),0))),RAND()),0))</f>
        <v/>
      </c>
      <c r="E19">
        <f>IF(urodz!E19&lt;=0,0,IFERROR(_xlfn.BINOM.INV(urodz!E19,MAX(0,MIN(1,IFERROR((ca!E18+cb!E18)/MAX(1,z!E18+o!E18+ca!E18+cb!E18),0))),RAND()),0))</f>
        <v/>
      </c>
      <c r="F19">
        <f>IF(urodz!F19&lt;=0,0,IFERROR(_xlfn.BINOM.INV(urodz!F19,MAX(0,MIN(1,IFERROR((ca!F18+cb!F18)/MAX(1,z!F18+o!F18+ca!F18+cb!F18),0))),RAND()),0))</f>
        <v/>
      </c>
      <c r="G19">
        <f>IF(urodz!G19&lt;=0,0,IFERROR(_xlfn.BINOM.INV(urodz!G19,MAX(0,MIN(1,IFERROR((ca!G18+cb!G18)/MAX(1,z!G18+o!G18+ca!G18+cb!G18),0))),RAND()),0))</f>
        <v/>
      </c>
      <c r="H19">
        <f>IF(urodz!H19&lt;=0,0,IFERROR(_xlfn.BINOM.INV(urodz!H19,MAX(0,MIN(1,IFERROR((ca!H18+cb!H18)/MAX(1,z!H18+o!H18+ca!H18+cb!H18),0))),RAND()),0))</f>
        <v/>
      </c>
      <c r="I19">
        <f>IF(urodz!I19&lt;=0,0,IFERROR(_xlfn.BINOM.INV(urodz!I19,MAX(0,MIN(1,IFERROR((ca!I18+cb!I18)/MAX(1,z!I18+o!I18+ca!I18+cb!I18),0))),RAND()),0))</f>
        <v/>
      </c>
      <c r="J19">
        <f>IF(urodz!J19&lt;=0,0,IFERROR(_xlfn.BINOM.INV(urodz!J19,MAX(0,MIN(1,IFERROR((ca!J18+cb!J18)/MAX(1,z!J18+o!J18+ca!J18+cb!J18),0))),RAND()),0))</f>
        <v/>
      </c>
      <c r="K19">
        <f>IF(urodz!K19&lt;=0,0,IFERROR(_xlfn.BINOM.INV(urodz!K19,MAX(0,MIN(1,IFERROR((ca!K18+cb!K18)/MAX(1,z!K18+o!K18+ca!K18+cb!K18),0))),RAND()),0))</f>
        <v/>
      </c>
    </row>
    <row r="20">
      <c r="A20" t="n">
        <v>18</v>
      </c>
      <c r="B20" t="n">
        <v>0</v>
      </c>
      <c r="C20">
        <f>IF(urodz!C20&lt;=0,0,IFERROR(_xlfn.BINOM.INV(urodz!C20,MAX(0,MIN(1,IFERROR((ca!C19+cb!C19)/MAX(1,z!C19+o!C19+ca!C19+cb!C19),0))),RAND()),0))</f>
        <v/>
      </c>
      <c r="D20">
        <f>IF(urodz!D20&lt;=0,0,IFERROR(_xlfn.BINOM.INV(urodz!D20,MAX(0,MIN(1,IFERROR((ca!D19+cb!D19)/MAX(1,z!D19+o!D19+ca!D19+cb!D19),0))),RAND()),0))</f>
        <v/>
      </c>
      <c r="E20">
        <f>IF(urodz!E20&lt;=0,0,IFERROR(_xlfn.BINOM.INV(urodz!E20,MAX(0,MIN(1,IFERROR((ca!E19+cb!E19)/MAX(1,z!E19+o!E19+ca!E19+cb!E19),0))),RAND()),0))</f>
        <v/>
      </c>
      <c r="F20">
        <f>IF(urodz!F20&lt;=0,0,IFERROR(_xlfn.BINOM.INV(urodz!F20,MAX(0,MIN(1,IFERROR((ca!F19+cb!F19)/MAX(1,z!F19+o!F19+ca!F19+cb!F19),0))),RAND()),0))</f>
        <v/>
      </c>
      <c r="G20">
        <f>IF(urodz!G20&lt;=0,0,IFERROR(_xlfn.BINOM.INV(urodz!G20,MAX(0,MIN(1,IFERROR((ca!G19+cb!G19)/MAX(1,z!G19+o!G19+ca!G19+cb!G19),0))),RAND()),0))</f>
        <v/>
      </c>
      <c r="H20">
        <f>IF(urodz!H20&lt;=0,0,IFERROR(_xlfn.BINOM.INV(urodz!H20,MAX(0,MIN(1,IFERROR((ca!H19+cb!H19)/MAX(1,z!H19+o!H19+ca!H19+cb!H19),0))),RAND()),0))</f>
        <v/>
      </c>
      <c r="I20">
        <f>IF(urodz!I20&lt;=0,0,IFERROR(_xlfn.BINOM.INV(urodz!I20,MAX(0,MIN(1,IFERROR((ca!I19+cb!I19)/MAX(1,z!I19+o!I19+ca!I19+cb!I19),0))),RAND()),0))</f>
        <v/>
      </c>
      <c r="J20">
        <f>IF(urodz!J20&lt;=0,0,IFERROR(_xlfn.BINOM.INV(urodz!J20,MAX(0,MIN(1,IFERROR((ca!J19+cb!J19)/MAX(1,z!J19+o!J19+ca!J19+cb!J19),0))),RAND()),0))</f>
        <v/>
      </c>
      <c r="K20">
        <f>IF(urodz!K20&lt;=0,0,IFERROR(_xlfn.BINOM.INV(urodz!K20,MAX(0,MIN(1,IFERROR((ca!K19+cb!K19)/MAX(1,z!K19+o!K19+ca!K19+cb!K19),0))),RAND()),0))</f>
        <v/>
      </c>
    </row>
    <row r="21">
      <c r="A21" t="n">
        <v>19</v>
      </c>
      <c r="B21" t="n">
        <v>0</v>
      </c>
      <c r="C21">
        <f>IF(urodz!C21&lt;=0,0,IFERROR(_xlfn.BINOM.INV(urodz!C21,MAX(0,MIN(1,IFERROR((ca!C20+cb!C20)/MAX(1,z!C20+o!C20+ca!C20+cb!C20),0))),RAND()),0))</f>
        <v/>
      </c>
      <c r="D21">
        <f>IF(urodz!D21&lt;=0,0,IFERROR(_xlfn.BINOM.INV(urodz!D21,MAX(0,MIN(1,IFERROR((ca!D20+cb!D20)/MAX(1,z!D20+o!D20+ca!D20+cb!D20),0))),RAND()),0))</f>
        <v/>
      </c>
      <c r="E21">
        <f>IF(urodz!E21&lt;=0,0,IFERROR(_xlfn.BINOM.INV(urodz!E21,MAX(0,MIN(1,IFERROR((ca!E20+cb!E20)/MAX(1,z!E20+o!E20+ca!E20+cb!E20),0))),RAND()),0))</f>
        <v/>
      </c>
      <c r="F21">
        <f>IF(urodz!F21&lt;=0,0,IFERROR(_xlfn.BINOM.INV(urodz!F21,MAX(0,MIN(1,IFERROR((ca!F20+cb!F20)/MAX(1,z!F20+o!F20+ca!F20+cb!F20),0))),RAND()),0))</f>
        <v/>
      </c>
      <c r="G21">
        <f>IF(urodz!G21&lt;=0,0,IFERROR(_xlfn.BINOM.INV(urodz!G21,MAX(0,MIN(1,IFERROR((ca!G20+cb!G20)/MAX(1,z!G20+o!G20+ca!G20+cb!G20),0))),RAND()),0))</f>
        <v/>
      </c>
      <c r="H21">
        <f>IF(urodz!H21&lt;=0,0,IFERROR(_xlfn.BINOM.INV(urodz!H21,MAX(0,MIN(1,IFERROR((ca!H20+cb!H20)/MAX(1,z!H20+o!H20+ca!H20+cb!H20),0))),RAND()),0))</f>
        <v/>
      </c>
      <c r="I21">
        <f>IF(urodz!I21&lt;=0,0,IFERROR(_xlfn.BINOM.INV(urodz!I21,MAX(0,MIN(1,IFERROR((ca!I20+cb!I20)/MAX(1,z!I20+o!I20+ca!I20+cb!I20),0))),RAND()),0))</f>
        <v/>
      </c>
      <c r="J21">
        <f>IF(urodz!J21&lt;=0,0,IFERROR(_xlfn.BINOM.INV(urodz!J21,MAX(0,MIN(1,IFERROR((ca!J20+cb!J20)/MAX(1,z!J20+o!J20+ca!J20+cb!J20),0))),RAND()),0))</f>
        <v/>
      </c>
      <c r="K21">
        <f>IF(urodz!K21&lt;=0,0,IFERROR(_xlfn.BINOM.INV(urodz!K21,MAX(0,MIN(1,IFERROR((ca!K20+cb!K20)/MAX(1,z!K20+o!K20+ca!K20+cb!K20),0))),RAND()),0))</f>
        <v/>
      </c>
    </row>
    <row r="22">
      <c r="A22" t="n">
        <v>20</v>
      </c>
      <c r="B22" t="n">
        <v>0</v>
      </c>
      <c r="C22">
        <f>IF(urodz!C22&lt;=0,0,IFERROR(_xlfn.BINOM.INV(urodz!C22,MAX(0,MIN(1,IFERROR((ca!C21+cb!C21)/MAX(1,z!C21+o!C21+ca!C21+cb!C21),0))),RAND()),0))</f>
        <v/>
      </c>
      <c r="D22">
        <f>IF(urodz!D22&lt;=0,0,IFERROR(_xlfn.BINOM.INV(urodz!D22,MAX(0,MIN(1,IFERROR((ca!D21+cb!D21)/MAX(1,z!D21+o!D21+ca!D21+cb!D21),0))),RAND()),0))</f>
        <v/>
      </c>
      <c r="E22">
        <f>IF(urodz!E22&lt;=0,0,IFERROR(_xlfn.BINOM.INV(urodz!E22,MAX(0,MIN(1,IFERROR((ca!E21+cb!E21)/MAX(1,z!E21+o!E21+ca!E21+cb!E21),0))),RAND()),0))</f>
        <v/>
      </c>
      <c r="F22">
        <f>IF(urodz!F22&lt;=0,0,IFERROR(_xlfn.BINOM.INV(urodz!F22,MAX(0,MIN(1,IFERROR((ca!F21+cb!F21)/MAX(1,z!F21+o!F21+ca!F21+cb!F21),0))),RAND()),0))</f>
        <v/>
      </c>
      <c r="G22">
        <f>IF(urodz!G22&lt;=0,0,IFERROR(_xlfn.BINOM.INV(urodz!G22,MAX(0,MIN(1,IFERROR((ca!G21+cb!G21)/MAX(1,z!G21+o!G21+ca!G21+cb!G21),0))),RAND()),0))</f>
        <v/>
      </c>
      <c r="H22">
        <f>IF(urodz!H22&lt;=0,0,IFERROR(_xlfn.BINOM.INV(urodz!H22,MAX(0,MIN(1,IFERROR((ca!H21+cb!H21)/MAX(1,z!H21+o!H21+ca!H21+cb!H21),0))),RAND()),0))</f>
        <v/>
      </c>
      <c r="I22">
        <f>IF(urodz!I22&lt;=0,0,IFERROR(_xlfn.BINOM.INV(urodz!I22,MAX(0,MIN(1,IFERROR((ca!I21+cb!I21)/MAX(1,z!I21+o!I21+ca!I21+cb!I21),0))),RAND()),0))</f>
        <v/>
      </c>
      <c r="J22">
        <f>IF(urodz!J22&lt;=0,0,IFERROR(_xlfn.BINOM.INV(urodz!J22,MAX(0,MIN(1,IFERROR((ca!J21+cb!J21)/MAX(1,z!J21+o!J21+ca!J21+cb!J21),0))),RAND()),0))</f>
        <v/>
      </c>
      <c r="K22">
        <f>IF(urodz!K22&lt;=0,0,IFERROR(_xlfn.BINOM.INV(urodz!K22,MAX(0,MIN(1,IFERROR((ca!K21+cb!K21)/MAX(1,z!K21+o!K21+ca!K21+cb!K21),0))),RAND()),0))</f>
        <v/>
      </c>
    </row>
    <row r="23">
      <c r="A23" t="n">
        <v>21</v>
      </c>
      <c r="B23" t="n">
        <v>0</v>
      </c>
      <c r="C23">
        <f>IF(urodz!C23&lt;=0,0,IFERROR(_xlfn.BINOM.INV(urodz!C23,MAX(0,MIN(1,IFERROR((ca!C22+cb!C22)/MAX(1,z!C22+o!C22+ca!C22+cb!C22),0))),RAND()),0))</f>
        <v/>
      </c>
      <c r="D23">
        <f>IF(urodz!D23&lt;=0,0,IFERROR(_xlfn.BINOM.INV(urodz!D23,MAX(0,MIN(1,IFERROR((ca!D22+cb!D22)/MAX(1,z!D22+o!D22+ca!D22+cb!D22),0))),RAND()),0))</f>
        <v/>
      </c>
      <c r="E23">
        <f>IF(urodz!E23&lt;=0,0,IFERROR(_xlfn.BINOM.INV(urodz!E23,MAX(0,MIN(1,IFERROR((ca!E22+cb!E22)/MAX(1,z!E22+o!E22+ca!E22+cb!E22),0))),RAND()),0))</f>
        <v/>
      </c>
      <c r="F23">
        <f>IF(urodz!F23&lt;=0,0,IFERROR(_xlfn.BINOM.INV(urodz!F23,MAX(0,MIN(1,IFERROR((ca!F22+cb!F22)/MAX(1,z!F22+o!F22+ca!F22+cb!F22),0))),RAND()),0))</f>
        <v/>
      </c>
      <c r="G23">
        <f>IF(urodz!G23&lt;=0,0,IFERROR(_xlfn.BINOM.INV(urodz!G23,MAX(0,MIN(1,IFERROR((ca!G22+cb!G22)/MAX(1,z!G22+o!G22+ca!G22+cb!G22),0))),RAND()),0))</f>
        <v/>
      </c>
      <c r="H23">
        <f>IF(urodz!H23&lt;=0,0,IFERROR(_xlfn.BINOM.INV(urodz!H23,MAX(0,MIN(1,IFERROR((ca!H22+cb!H22)/MAX(1,z!H22+o!H22+ca!H22+cb!H22),0))),RAND()),0))</f>
        <v/>
      </c>
      <c r="I23">
        <f>IF(urodz!I23&lt;=0,0,IFERROR(_xlfn.BINOM.INV(urodz!I23,MAX(0,MIN(1,IFERROR((ca!I22+cb!I22)/MAX(1,z!I22+o!I22+ca!I22+cb!I22),0))),RAND()),0))</f>
        <v/>
      </c>
      <c r="J23">
        <f>IF(urodz!J23&lt;=0,0,IFERROR(_xlfn.BINOM.INV(urodz!J23,MAX(0,MIN(1,IFERROR((ca!J22+cb!J22)/MAX(1,z!J22+o!J22+ca!J22+cb!J22),0))),RAND()),0))</f>
        <v/>
      </c>
      <c r="K23">
        <f>IF(urodz!K23&lt;=0,0,IFERROR(_xlfn.BINOM.INV(urodz!K23,MAX(0,MIN(1,IFERROR((ca!K22+cb!K22)/MAX(1,z!K22+o!K22+ca!K22+cb!K22),0))),RAND()),0))</f>
        <v/>
      </c>
    </row>
    <row r="24">
      <c r="A24" t="n">
        <v>22</v>
      </c>
      <c r="B24" t="n">
        <v>0</v>
      </c>
      <c r="C24">
        <f>IF(urodz!C24&lt;=0,0,IFERROR(_xlfn.BINOM.INV(urodz!C24,MAX(0,MIN(1,IFERROR((ca!C23+cb!C23)/MAX(1,z!C23+o!C23+ca!C23+cb!C23),0))),RAND()),0))</f>
        <v/>
      </c>
      <c r="D24">
        <f>IF(urodz!D24&lt;=0,0,IFERROR(_xlfn.BINOM.INV(urodz!D24,MAX(0,MIN(1,IFERROR((ca!D23+cb!D23)/MAX(1,z!D23+o!D23+ca!D23+cb!D23),0))),RAND()),0))</f>
        <v/>
      </c>
      <c r="E24">
        <f>IF(urodz!E24&lt;=0,0,IFERROR(_xlfn.BINOM.INV(urodz!E24,MAX(0,MIN(1,IFERROR((ca!E23+cb!E23)/MAX(1,z!E23+o!E23+ca!E23+cb!E23),0))),RAND()),0))</f>
        <v/>
      </c>
      <c r="F24">
        <f>IF(urodz!F24&lt;=0,0,IFERROR(_xlfn.BINOM.INV(urodz!F24,MAX(0,MIN(1,IFERROR((ca!F23+cb!F23)/MAX(1,z!F23+o!F23+ca!F23+cb!F23),0))),RAND()),0))</f>
        <v/>
      </c>
      <c r="G24">
        <f>IF(urodz!G24&lt;=0,0,IFERROR(_xlfn.BINOM.INV(urodz!G24,MAX(0,MIN(1,IFERROR((ca!G23+cb!G23)/MAX(1,z!G23+o!G23+ca!G23+cb!G23),0))),RAND()),0))</f>
        <v/>
      </c>
      <c r="H24">
        <f>IF(urodz!H24&lt;=0,0,IFERROR(_xlfn.BINOM.INV(urodz!H24,MAX(0,MIN(1,IFERROR((ca!H23+cb!H23)/MAX(1,z!H23+o!H23+ca!H23+cb!H23),0))),RAND()),0))</f>
        <v/>
      </c>
      <c r="I24">
        <f>IF(urodz!I24&lt;=0,0,IFERROR(_xlfn.BINOM.INV(urodz!I24,MAX(0,MIN(1,IFERROR((ca!I23+cb!I23)/MAX(1,z!I23+o!I23+ca!I23+cb!I23),0))),RAND()),0))</f>
        <v/>
      </c>
      <c r="J24">
        <f>IF(urodz!J24&lt;=0,0,IFERROR(_xlfn.BINOM.INV(urodz!J24,MAX(0,MIN(1,IFERROR((ca!J23+cb!J23)/MAX(1,z!J23+o!J23+ca!J23+cb!J23),0))),RAND()),0))</f>
        <v/>
      </c>
      <c r="K24">
        <f>IF(urodz!K24&lt;=0,0,IFERROR(_xlfn.BINOM.INV(urodz!K24,MAX(0,MIN(1,IFERROR((ca!K23+cb!K23)/MAX(1,z!K23+o!K23+ca!K23+cb!K23),0))),RAND()),0))</f>
        <v/>
      </c>
    </row>
    <row r="25">
      <c r="A25" t="n">
        <v>23</v>
      </c>
      <c r="B25" t="n">
        <v>0</v>
      </c>
      <c r="C25">
        <f>IF(urodz!C25&lt;=0,0,IFERROR(_xlfn.BINOM.INV(urodz!C25,MAX(0,MIN(1,IFERROR((ca!C24+cb!C24)/MAX(1,z!C24+o!C24+ca!C24+cb!C24),0))),RAND()),0))</f>
        <v/>
      </c>
      <c r="D25">
        <f>IF(urodz!D25&lt;=0,0,IFERROR(_xlfn.BINOM.INV(urodz!D25,MAX(0,MIN(1,IFERROR((ca!D24+cb!D24)/MAX(1,z!D24+o!D24+ca!D24+cb!D24),0))),RAND()),0))</f>
        <v/>
      </c>
      <c r="E25">
        <f>IF(urodz!E25&lt;=0,0,IFERROR(_xlfn.BINOM.INV(urodz!E25,MAX(0,MIN(1,IFERROR((ca!E24+cb!E24)/MAX(1,z!E24+o!E24+ca!E24+cb!E24),0))),RAND()),0))</f>
        <v/>
      </c>
      <c r="F25">
        <f>IF(urodz!F25&lt;=0,0,IFERROR(_xlfn.BINOM.INV(urodz!F25,MAX(0,MIN(1,IFERROR((ca!F24+cb!F24)/MAX(1,z!F24+o!F24+ca!F24+cb!F24),0))),RAND()),0))</f>
        <v/>
      </c>
      <c r="G25">
        <f>IF(urodz!G25&lt;=0,0,IFERROR(_xlfn.BINOM.INV(urodz!G25,MAX(0,MIN(1,IFERROR((ca!G24+cb!G24)/MAX(1,z!G24+o!G24+ca!G24+cb!G24),0))),RAND()),0))</f>
        <v/>
      </c>
      <c r="H25">
        <f>IF(urodz!H25&lt;=0,0,IFERROR(_xlfn.BINOM.INV(urodz!H25,MAX(0,MIN(1,IFERROR((ca!H24+cb!H24)/MAX(1,z!H24+o!H24+ca!H24+cb!H24),0))),RAND()),0))</f>
        <v/>
      </c>
      <c r="I25">
        <f>IF(urodz!I25&lt;=0,0,IFERROR(_xlfn.BINOM.INV(urodz!I25,MAX(0,MIN(1,IFERROR((ca!I24+cb!I24)/MAX(1,z!I24+o!I24+ca!I24+cb!I24),0))),RAND()),0))</f>
        <v/>
      </c>
      <c r="J25">
        <f>IF(urodz!J25&lt;=0,0,IFERROR(_xlfn.BINOM.INV(urodz!J25,MAX(0,MIN(1,IFERROR((ca!J24+cb!J24)/MAX(1,z!J24+o!J24+ca!J24+cb!J24),0))),RAND()),0))</f>
        <v/>
      </c>
      <c r="K25">
        <f>IF(urodz!K25&lt;=0,0,IFERROR(_xlfn.BINOM.INV(urodz!K25,MAX(0,MIN(1,IFERROR((ca!K24+cb!K24)/MAX(1,z!K24+o!K24+ca!K24+cb!K24),0))),RAND()),0))</f>
        <v/>
      </c>
    </row>
    <row r="26">
      <c r="A26" t="n">
        <v>24</v>
      </c>
      <c r="B26" t="n">
        <v>0</v>
      </c>
      <c r="C26">
        <f>IF(urodz!C26&lt;=0,0,IFERROR(_xlfn.BINOM.INV(urodz!C26,MAX(0,MIN(1,IFERROR((ca!C25+cb!C25)/MAX(1,z!C25+o!C25+ca!C25+cb!C25),0))),RAND()),0))</f>
        <v/>
      </c>
      <c r="D26">
        <f>IF(urodz!D26&lt;=0,0,IFERROR(_xlfn.BINOM.INV(urodz!D26,MAX(0,MIN(1,IFERROR((ca!D25+cb!D25)/MAX(1,z!D25+o!D25+ca!D25+cb!D25),0))),RAND()),0))</f>
        <v/>
      </c>
      <c r="E26">
        <f>IF(urodz!E26&lt;=0,0,IFERROR(_xlfn.BINOM.INV(urodz!E26,MAX(0,MIN(1,IFERROR((ca!E25+cb!E25)/MAX(1,z!E25+o!E25+ca!E25+cb!E25),0))),RAND()),0))</f>
        <v/>
      </c>
      <c r="F26">
        <f>IF(urodz!F26&lt;=0,0,IFERROR(_xlfn.BINOM.INV(urodz!F26,MAX(0,MIN(1,IFERROR((ca!F25+cb!F25)/MAX(1,z!F25+o!F25+ca!F25+cb!F25),0))),RAND()),0))</f>
        <v/>
      </c>
      <c r="G26">
        <f>IF(urodz!G26&lt;=0,0,IFERROR(_xlfn.BINOM.INV(urodz!G26,MAX(0,MIN(1,IFERROR((ca!G25+cb!G25)/MAX(1,z!G25+o!G25+ca!G25+cb!G25),0))),RAND()),0))</f>
        <v/>
      </c>
      <c r="H26">
        <f>IF(urodz!H26&lt;=0,0,IFERROR(_xlfn.BINOM.INV(urodz!H26,MAX(0,MIN(1,IFERROR((ca!H25+cb!H25)/MAX(1,z!H25+o!H25+ca!H25+cb!H25),0))),RAND()),0))</f>
        <v/>
      </c>
      <c r="I26">
        <f>IF(urodz!I26&lt;=0,0,IFERROR(_xlfn.BINOM.INV(urodz!I26,MAX(0,MIN(1,IFERROR((ca!I25+cb!I25)/MAX(1,z!I25+o!I25+ca!I25+cb!I25),0))),RAND()),0))</f>
        <v/>
      </c>
      <c r="J26">
        <f>IF(urodz!J26&lt;=0,0,IFERROR(_xlfn.BINOM.INV(urodz!J26,MAX(0,MIN(1,IFERROR((ca!J25+cb!J25)/MAX(1,z!J25+o!J25+ca!J25+cb!J25),0))),RAND()),0))</f>
        <v/>
      </c>
      <c r="K26">
        <f>IF(urodz!K26&lt;=0,0,IFERROR(_xlfn.BINOM.INV(urodz!K26,MAX(0,MIN(1,IFERROR((ca!K25+cb!K25)/MAX(1,z!K25+o!K25+ca!K25+cb!K25),0))),RAND()),0))</f>
        <v/>
      </c>
    </row>
    <row r="27">
      <c r="A27" t="n">
        <v>25</v>
      </c>
      <c r="B27" t="n">
        <v>0</v>
      </c>
      <c r="C27">
        <f>IF(urodz!C27&lt;=0,0,IFERROR(_xlfn.BINOM.INV(urodz!C27,MAX(0,MIN(1,IFERROR((ca!C26+cb!C26)/MAX(1,z!C26+o!C26+ca!C26+cb!C26),0))),RAND()),0))</f>
        <v/>
      </c>
      <c r="D27">
        <f>IF(urodz!D27&lt;=0,0,IFERROR(_xlfn.BINOM.INV(urodz!D27,MAX(0,MIN(1,IFERROR((ca!D26+cb!D26)/MAX(1,z!D26+o!D26+ca!D26+cb!D26),0))),RAND()),0))</f>
        <v/>
      </c>
      <c r="E27">
        <f>IF(urodz!E27&lt;=0,0,IFERROR(_xlfn.BINOM.INV(urodz!E27,MAX(0,MIN(1,IFERROR((ca!E26+cb!E26)/MAX(1,z!E26+o!E26+ca!E26+cb!E26),0))),RAND()),0))</f>
        <v/>
      </c>
      <c r="F27">
        <f>IF(urodz!F27&lt;=0,0,IFERROR(_xlfn.BINOM.INV(urodz!F27,MAX(0,MIN(1,IFERROR((ca!F26+cb!F26)/MAX(1,z!F26+o!F26+ca!F26+cb!F26),0))),RAND()),0))</f>
        <v/>
      </c>
      <c r="G27">
        <f>IF(urodz!G27&lt;=0,0,IFERROR(_xlfn.BINOM.INV(urodz!G27,MAX(0,MIN(1,IFERROR((ca!G26+cb!G26)/MAX(1,z!G26+o!G26+ca!G26+cb!G26),0))),RAND()),0))</f>
        <v/>
      </c>
      <c r="H27">
        <f>IF(urodz!H27&lt;=0,0,IFERROR(_xlfn.BINOM.INV(urodz!H27,MAX(0,MIN(1,IFERROR((ca!H26+cb!H26)/MAX(1,z!H26+o!H26+ca!H26+cb!H26),0))),RAND()),0))</f>
        <v/>
      </c>
      <c r="I27">
        <f>IF(urodz!I27&lt;=0,0,IFERROR(_xlfn.BINOM.INV(urodz!I27,MAX(0,MIN(1,IFERROR((ca!I26+cb!I26)/MAX(1,z!I26+o!I26+ca!I26+cb!I26),0))),RAND()),0))</f>
        <v/>
      </c>
      <c r="J27">
        <f>IF(urodz!J27&lt;=0,0,IFERROR(_xlfn.BINOM.INV(urodz!J27,MAX(0,MIN(1,IFERROR((ca!J26+cb!J26)/MAX(1,z!J26+o!J26+ca!J26+cb!J26),0))),RAND()),0))</f>
        <v/>
      </c>
      <c r="K27">
        <f>IF(urodz!K27&lt;=0,0,IFERROR(_xlfn.BINOM.INV(urodz!K27,MAX(0,MIN(1,IFERROR((ca!K26+cb!K26)/MAX(1,z!K26+o!K26+ca!K26+cb!K26),0))),RAND()),0))</f>
        <v/>
      </c>
    </row>
    <row r="28">
      <c r="A28" t="n">
        <v>26</v>
      </c>
      <c r="B28" t="n">
        <v>0</v>
      </c>
      <c r="C28">
        <f>IF(urodz!C28&lt;=0,0,IFERROR(_xlfn.BINOM.INV(urodz!C28,MAX(0,MIN(1,IFERROR((ca!C27+cb!C27)/MAX(1,z!C27+o!C27+ca!C27+cb!C27),0))),RAND()),0))</f>
        <v/>
      </c>
      <c r="D28">
        <f>IF(urodz!D28&lt;=0,0,IFERROR(_xlfn.BINOM.INV(urodz!D28,MAX(0,MIN(1,IFERROR((ca!D27+cb!D27)/MAX(1,z!D27+o!D27+ca!D27+cb!D27),0))),RAND()),0))</f>
        <v/>
      </c>
      <c r="E28">
        <f>IF(urodz!E28&lt;=0,0,IFERROR(_xlfn.BINOM.INV(urodz!E28,MAX(0,MIN(1,IFERROR((ca!E27+cb!E27)/MAX(1,z!E27+o!E27+ca!E27+cb!E27),0))),RAND()),0))</f>
        <v/>
      </c>
      <c r="F28">
        <f>IF(urodz!F28&lt;=0,0,IFERROR(_xlfn.BINOM.INV(urodz!F28,MAX(0,MIN(1,IFERROR((ca!F27+cb!F27)/MAX(1,z!F27+o!F27+ca!F27+cb!F27),0))),RAND()),0))</f>
        <v/>
      </c>
      <c r="G28">
        <f>IF(urodz!G28&lt;=0,0,IFERROR(_xlfn.BINOM.INV(urodz!G28,MAX(0,MIN(1,IFERROR((ca!G27+cb!G27)/MAX(1,z!G27+o!G27+ca!G27+cb!G27),0))),RAND()),0))</f>
        <v/>
      </c>
      <c r="H28">
        <f>IF(urodz!H28&lt;=0,0,IFERROR(_xlfn.BINOM.INV(urodz!H28,MAX(0,MIN(1,IFERROR((ca!H27+cb!H27)/MAX(1,z!H27+o!H27+ca!H27+cb!H27),0))),RAND()),0))</f>
        <v/>
      </c>
      <c r="I28">
        <f>IF(urodz!I28&lt;=0,0,IFERROR(_xlfn.BINOM.INV(urodz!I28,MAX(0,MIN(1,IFERROR((ca!I27+cb!I27)/MAX(1,z!I27+o!I27+ca!I27+cb!I27),0))),RAND()),0))</f>
        <v/>
      </c>
      <c r="J28">
        <f>IF(urodz!J28&lt;=0,0,IFERROR(_xlfn.BINOM.INV(urodz!J28,MAX(0,MIN(1,IFERROR((ca!J27+cb!J27)/MAX(1,z!J27+o!J27+ca!J27+cb!J27),0))),RAND()),0))</f>
        <v/>
      </c>
      <c r="K28">
        <f>IF(urodz!K28&lt;=0,0,IFERROR(_xlfn.BINOM.INV(urodz!K28,MAX(0,MIN(1,IFERROR((ca!K27+cb!K27)/MAX(1,z!K27+o!K27+ca!K27+cb!K27),0))),RAND()),0))</f>
        <v/>
      </c>
    </row>
    <row r="29">
      <c r="A29" t="n">
        <v>27</v>
      </c>
      <c r="B29" t="n">
        <v>0</v>
      </c>
      <c r="C29">
        <f>IF(urodz!C29&lt;=0,0,IFERROR(_xlfn.BINOM.INV(urodz!C29,MAX(0,MIN(1,IFERROR((ca!C28+cb!C28)/MAX(1,z!C28+o!C28+ca!C28+cb!C28),0))),RAND()),0))</f>
        <v/>
      </c>
      <c r="D29">
        <f>IF(urodz!D29&lt;=0,0,IFERROR(_xlfn.BINOM.INV(urodz!D29,MAX(0,MIN(1,IFERROR((ca!D28+cb!D28)/MAX(1,z!D28+o!D28+ca!D28+cb!D28),0))),RAND()),0))</f>
        <v/>
      </c>
      <c r="E29">
        <f>IF(urodz!E29&lt;=0,0,IFERROR(_xlfn.BINOM.INV(urodz!E29,MAX(0,MIN(1,IFERROR((ca!E28+cb!E28)/MAX(1,z!E28+o!E28+ca!E28+cb!E28),0))),RAND()),0))</f>
        <v/>
      </c>
      <c r="F29">
        <f>IF(urodz!F29&lt;=0,0,IFERROR(_xlfn.BINOM.INV(urodz!F29,MAX(0,MIN(1,IFERROR((ca!F28+cb!F28)/MAX(1,z!F28+o!F28+ca!F28+cb!F28),0))),RAND()),0))</f>
        <v/>
      </c>
      <c r="G29">
        <f>IF(urodz!G29&lt;=0,0,IFERROR(_xlfn.BINOM.INV(urodz!G29,MAX(0,MIN(1,IFERROR((ca!G28+cb!G28)/MAX(1,z!G28+o!G28+ca!G28+cb!G28),0))),RAND()),0))</f>
        <v/>
      </c>
      <c r="H29">
        <f>IF(urodz!H29&lt;=0,0,IFERROR(_xlfn.BINOM.INV(urodz!H29,MAX(0,MIN(1,IFERROR((ca!H28+cb!H28)/MAX(1,z!H28+o!H28+ca!H28+cb!H28),0))),RAND()),0))</f>
        <v/>
      </c>
      <c r="I29">
        <f>IF(urodz!I29&lt;=0,0,IFERROR(_xlfn.BINOM.INV(urodz!I29,MAX(0,MIN(1,IFERROR((ca!I28+cb!I28)/MAX(1,z!I28+o!I28+ca!I28+cb!I28),0))),RAND()),0))</f>
        <v/>
      </c>
      <c r="J29">
        <f>IF(urodz!J29&lt;=0,0,IFERROR(_xlfn.BINOM.INV(urodz!J29,MAX(0,MIN(1,IFERROR((ca!J28+cb!J28)/MAX(1,z!J28+o!J28+ca!J28+cb!J28),0))),RAND()),0))</f>
        <v/>
      </c>
      <c r="K29">
        <f>IF(urodz!K29&lt;=0,0,IFERROR(_xlfn.BINOM.INV(urodz!K29,MAX(0,MIN(1,IFERROR((ca!K28+cb!K28)/MAX(1,z!K28+o!K28+ca!K28+cb!K28),0))),RAND()),0))</f>
        <v/>
      </c>
    </row>
    <row r="30">
      <c r="A30" t="n">
        <v>28</v>
      </c>
      <c r="B30" t="n">
        <v>0</v>
      </c>
      <c r="C30">
        <f>IF(urodz!C30&lt;=0,0,IFERROR(_xlfn.BINOM.INV(urodz!C30,MAX(0,MIN(1,IFERROR((ca!C29+cb!C29)/MAX(1,z!C29+o!C29+ca!C29+cb!C29),0))),RAND()),0))</f>
        <v/>
      </c>
      <c r="D30">
        <f>IF(urodz!D30&lt;=0,0,IFERROR(_xlfn.BINOM.INV(urodz!D30,MAX(0,MIN(1,IFERROR((ca!D29+cb!D29)/MAX(1,z!D29+o!D29+ca!D29+cb!D29),0))),RAND()),0))</f>
        <v/>
      </c>
      <c r="E30">
        <f>IF(urodz!E30&lt;=0,0,IFERROR(_xlfn.BINOM.INV(urodz!E30,MAX(0,MIN(1,IFERROR((ca!E29+cb!E29)/MAX(1,z!E29+o!E29+ca!E29+cb!E29),0))),RAND()),0))</f>
        <v/>
      </c>
      <c r="F30">
        <f>IF(urodz!F30&lt;=0,0,IFERROR(_xlfn.BINOM.INV(urodz!F30,MAX(0,MIN(1,IFERROR((ca!F29+cb!F29)/MAX(1,z!F29+o!F29+ca!F29+cb!F29),0))),RAND()),0))</f>
        <v/>
      </c>
      <c r="G30">
        <f>IF(urodz!G30&lt;=0,0,IFERROR(_xlfn.BINOM.INV(urodz!G30,MAX(0,MIN(1,IFERROR((ca!G29+cb!G29)/MAX(1,z!G29+o!G29+ca!G29+cb!G29),0))),RAND()),0))</f>
        <v/>
      </c>
      <c r="H30">
        <f>IF(urodz!H30&lt;=0,0,IFERROR(_xlfn.BINOM.INV(urodz!H30,MAX(0,MIN(1,IFERROR((ca!H29+cb!H29)/MAX(1,z!H29+o!H29+ca!H29+cb!H29),0))),RAND()),0))</f>
        <v/>
      </c>
      <c r="I30">
        <f>IF(urodz!I30&lt;=0,0,IFERROR(_xlfn.BINOM.INV(urodz!I30,MAX(0,MIN(1,IFERROR((ca!I29+cb!I29)/MAX(1,z!I29+o!I29+ca!I29+cb!I29),0))),RAND()),0))</f>
        <v/>
      </c>
      <c r="J30">
        <f>IF(urodz!J30&lt;=0,0,IFERROR(_xlfn.BINOM.INV(urodz!J30,MAX(0,MIN(1,IFERROR((ca!J29+cb!J29)/MAX(1,z!J29+o!J29+ca!J29+cb!J29),0))),RAND()),0))</f>
        <v/>
      </c>
      <c r="K30">
        <f>IF(urodz!K30&lt;=0,0,IFERROR(_xlfn.BINOM.INV(urodz!K30,MAX(0,MIN(1,IFERROR((ca!K29+cb!K29)/MAX(1,z!K29+o!K29+ca!K29+cb!K29),0))),RAND()),0))</f>
        <v/>
      </c>
    </row>
    <row r="31">
      <c r="A31" t="n">
        <v>29</v>
      </c>
      <c r="B31" t="n">
        <v>0</v>
      </c>
      <c r="C31">
        <f>IF(urodz!C31&lt;=0,0,IFERROR(_xlfn.BINOM.INV(urodz!C31,MAX(0,MIN(1,IFERROR((ca!C30+cb!C30)/MAX(1,z!C30+o!C30+ca!C30+cb!C30),0))),RAND()),0))</f>
        <v/>
      </c>
      <c r="D31">
        <f>IF(urodz!D31&lt;=0,0,IFERROR(_xlfn.BINOM.INV(urodz!D31,MAX(0,MIN(1,IFERROR((ca!D30+cb!D30)/MAX(1,z!D30+o!D30+ca!D30+cb!D30),0))),RAND()),0))</f>
        <v/>
      </c>
      <c r="E31">
        <f>IF(urodz!E31&lt;=0,0,IFERROR(_xlfn.BINOM.INV(urodz!E31,MAX(0,MIN(1,IFERROR((ca!E30+cb!E30)/MAX(1,z!E30+o!E30+ca!E30+cb!E30),0))),RAND()),0))</f>
        <v/>
      </c>
      <c r="F31">
        <f>IF(urodz!F31&lt;=0,0,IFERROR(_xlfn.BINOM.INV(urodz!F31,MAX(0,MIN(1,IFERROR((ca!F30+cb!F30)/MAX(1,z!F30+o!F30+ca!F30+cb!F30),0))),RAND()),0))</f>
        <v/>
      </c>
      <c r="G31">
        <f>IF(urodz!G31&lt;=0,0,IFERROR(_xlfn.BINOM.INV(urodz!G31,MAX(0,MIN(1,IFERROR((ca!G30+cb!G30)/MAX(1,z!G30+o!G30+ca!G30+cb!G30),0))),RAND()),0))</f>
        <v/>
      </c>
      <c r="H31">
        <f>IF(urodz!H31&lt;=0,0,IFERROR(_xlfn.BINOM.INV(urodz!H31,MAX(0,MIN(1,IFERROR((ca!H30+cb!H30)/MAX(1,z!H30+o!H30+ca!H30+cb!H30),0))),RAND()),0))</f>
        <v/>
      </c>
      <c r="I31">
        <f>IF(urodz!I31&lt;=0,0,IFERROR(_xlfn.BINOM.INV(urodz!I31,MAX(0,MIN(1,IFERROR((ca!I30+cb!I30)/MAX(1,z!I30+o!I30+ca!I30+cb!I30),0))),RAND()),0))</f>
        <v/>
      </c>
      <c r="J31">
        <f>IF(urodz!J31&lt;=0,0,IFERROR(_xlfn.BINOM.INV(urodz!J31,MAX(0,MIN(1,IFERROR((ca!J30+cb!J30)/MAX(1,z!J30+o!J30+ca!J30+cb!J30),0))),RAND()),0))</f>
        <v/>
      </c>
      <c r="K31">
        <f>IF(urodz!K31&lt;=0,0,IFERROR(_xlfn.BINOM.INV(urodz!K31,MAX(0,MIN(1,IFERROR((ca!K30+cb!K30)/MAX(1,z!K30+o!K30+ca!K30+cb!K30),0))),RAND()),0))</f>
        <v/>
      </c>
    </row>
    <row r="32">
      <c r="A32" t="n">
        <v>30</v>
      </c>
      <c r="B32" t="n">
        <v>0</v>
      </c>
      <c r="C32">
        <f>IF(urodz!C32&lt;=0,0,IFERROR(_xlfn.BINOM.INV(urodz!C32,MAX(0,MIN(1,IFERROR((ca!C31+cb!C31)/MAX(1,z!C31+o!C31+ca!C31+cb!C31),0))),RAND()),0))</f>
        <v/>
      </c>
      <c r="D32">
        <f>IF(urodz!D32&lt;=0,0,IFERROR(_xlfn.BINOM.INV(urodz!D32,MAX(0,MIN(1,IFERROR((ca!D31+cb!D31)/MAX(1,z!D31+o!D31+ca!D31+cb!D31),0))),RAND()),0))</f>
        <v/>
      </c>
      <c r="E32">
        <f>IF(urodz!E32&lt;=0,0,IFERROR(_xlfn.BINOM.INV(urodz!E32,MAX(0,MIN(1,IFERROR((ca!E31+cb!E31)/MAX(1,z!E31+o!E31+ca!E31+cb!E31),0))),RAND()),0))</f>
        <v/>
      </c>
      <c r="F32">
        <f>IF(urodz!F32&lt;=0,0,IFERROR(_xlfn.BINOM.INV(urodz!F32,MAX(0,MIN(1,IFERROR((ca!F31+cb!F31)/MAX(1,z!F31+o!F31+ca!F31+cb!F31),0))),RAND()),0))</f>
        <v/>
      </c>
      <c r="G32">
        <f>IF(urodz!G32&lt;=0,0,IFERROR(_xlfn.BINOM.INV(urodz!G32,MAX(0,MIN(1,IFERROR((ca!G31+cb!G31)/MAX(1,z!G31+o!G31+ca!G31+cb!G31),0))),RAND()),0))</f>
        <v/>
      </c>
      <c r="H32">
        <f>IF(urodz!H32&lt;=0,0,IFERROR(_xlfn.BINOM.INV(urodz!H32,MAX(0,MIN(1,IFERROR((ca!H31+cb!H31)/MAX(1,z!H31+o!H31+ca!H31+cb!H31),0))),RAND()),0))</f>
        <v/>
      </c>
      <c r="I32">
        <f>IF(urodz!I32&lt;=0,0,IFERROR(_xlfn.BINOM.INV(urodz!I32,MAX(0,MIN(1,IFERROR((ca!I31+cb!I31)/MAX(1,z!I31+o!I31+ca!I31+cb!I31),0))),RAND()),0))</f>
        <v/>
      </c>
      <c r="J32">
        <f>IF(urodz!J32&lt;=0,0,IFERROR(_xlfn.BINOM.INV(urodz!J32,MAX(0,MIN(1,IFERROR((ca!J31+cb!J31)/MAX(1,z!J31+o!J31+ca!J31+cb!J31),0))),RAND()),0))</f>
        <v/>
      </c>
      <c r="K32">
        <f>IF(urodz!K32&lt;=0,0,IFERROR(_xlfn.BINOM.INV(urodz!K32,MAX(0,MIN(1,IFERROR((ca!K31+cb!K31)/MAX(1,z!K31+o!K31+ca!K31+cb!K31),0))),RAND()),0))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t \ a</t>
        </is>
      </c>
      <c r="B1" s="1" t="inlineStr">
        <is>
          <t>a=1</t>
        </is>
      </c>
      <c r="C1" s="1" t="inlineStr">
        <is>
          <t>a=2</t>
        </is>
      </c>
      <c r="D1" s="1" t="inlineStr">
        <is>
          <t>a=3</t>
        </is>
      </c>
      <c r="E1" s="1" t="inlineStr">
        <is>
          <t>a=4</t>
        </is>
      </c>
      <c r="F1" s="1" t="inlineStr">
        <is>
          <t>a=5</t>
        </is>
      </c>
      <c r="G1" s="1" t="inlineStr">
        <is>
          <t>a=6</t>
        </is>
      </c>
      <c r="H1" s="1" t="inlineStr">
        <is>
          <t>a=7</t>
        </is>
      </c>
      <c r="I1" s="1" t="inlineStr">
        <is>
          <t>a=8</t>
        </is>
      </c>
      <c r="J1" s="1" t="inlineStr">
        <is>
          <t>a=9</t>
        </is>
      </c>
      <c r="K1" s="1" t="inlineStr">
        <is>
          <t>a=10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>
        <f>IFERROR(_xlfn.BINOM.INV(MAX(0,(SUM(urodz!C3:K3)-SUM(urodz_ch!C3:K3))),MAX(0,MIN(1,VLOOKUP(1,h_nat_tbl,2,FALSE))),RAND()),0)</f>
        <v/>
      </c>
      <c r="C3">
        <f>IFERROR(_xlfn.BINOM.INV(MAX(0,(z!B2-pca!B3+o!B2)),MAX(0,MIN(1,VLOOKUP(2,h_nat_tbl,2,FALSE))),RAND()),0)</f>
        <v/>
      </c>
      <c r="D3">
        <f>IFERROR(_xlfn.BINOM.INV(MAX(0,(z!C2-pca!C3+o!C2)),MAX(0,MIN(1,VLOOKUP(3,h_nat_tbl,2,FALSE))),RAND()),0)</f>
        <v/>
      </c>
      <c r="E3">
        <f>IFERROR(_xlfn.BINOM.INV(MAX(0,(z!D2-pca!D3+o!D2)),MAX(0,MIN(1,VLOOKUP(4,h_nat_tbl,2,FALSE))),RAND()),0)</f>
        <v/>
      </c>
      <c r="F3">
        <f>IFERROR(_xlfn.BINOM.INV(MAX(0,(z!E2-pca!E3+o!E2)),MAX(0,MIN(1,VLOOKUP(5,h_nat_tbl,2,FALSE))),RAND()),0)</f>
        <v/>
      </c>
      <c r="G3">
        <f>IFERROR(_xlfn.BINOM.INV(MAX(0,(z!F2-pca!F3+o!F2)),MAX(0,MIN(1,VLOOKUP(6,h_nat_tbl,2,FALSE))),RAND()),0)</f>
        <v/>
      </c>
      <c r="H3">
        <f>IFERROR(_xlfn.BINOM.INV(MAX(0,(z!G2-pca!G3+o!G2)),MAX(0,MIN(1,VLOOKUP(7,h_nat_tbl,2,FALSE))),RAND()),0)</f>
        <v/>
      </c>
      <c r="I3">
        <f>IFERROR(_xlfn.BINOM.INV(MAX(0,(z!H2-pca!H3+o!H2)),MAX(0,MIN(1,VLOOKUP(8,h_nat_tbl,2,FALSE))),RAND()),0)</f>
        <v/>
      </c>
      <c r="J3">
        <f>IFERROR(_xlfn.BINOM.INV(MAX(0,(z!I2-pca!I3+o!I2)),MAX(0,MIN(1,VLOOKUP(9,h_nat_tbl,2,FALSE))),RAND()),0)</f>
        <v/>
      </c>
      <c r="K3">
        <f>IFERROR(_xlfn.BINOM.INV(MAX(0,(z!J2-pca!J3+o!J2)),MAX(0,MIN(1,VLOOKUP(10,h_nat_tbl,2,FALSE))),RAND()),0)</f>
        <v/>
      </c>
    </row>
    <row r="4">
      <c r="A4" t="n">
        <v>2</v>
      </c>
      <c r="B4">
        <f>IFERROR(_xlfn.BINOM.INV(MAX(0,(SUM(urodz!C4:K4)-SUM(urodz_ch!C4:K4))),MAX(0,MIN(1,VLOOKUP(1,h_nat_tbl,2,FALSE))),RAND()),0)</f>
        <v/>
      </c>
      <c r="C4">
        <f>IFERROR(_xlfn.BINOM.INV(MAX(0,(z!B3-pca!B4+o!B3)),MAX(0,MIN(1,VLOOKUP(2,h_nat_tbl,2,FALSE))),RAND()),0)</f>
        <v/>
      </c>
      <c r="D4">
        <f>IFERROR(_xlfn.BINOM.INV(MAX(0,(z!C3-pca!C4+o!C3)),MAX(0,MIN(1,VLOOKUP(3,h_nat_tbl,2,FALSE))),RAND()),0)</f>
        <v/>
      </c>
      <c r="E4">
        <f>IFERROR(_xlfn.BINOM.INV(MAX(0,(z!D3-pca!D4+o!D3)),MAX(0,MIN(1,VLOOKUP(4,h_nat_tbl,2,FALSE))),RAND()),0)</f>
        <v/>
      </c>
      <c r="F4">
        <f>IFERROR(_xlfn.BINOM.INV(MAX(0,(z!E3-pca!E4+o!E3)),MAX(0,MIN(1,VLOOKUP(5,h_nat_tbl,2,FALSE))),RAND()),0)</f>
        <v/>
      </c>
      <c r="G4">
        <f>IFERROR(_xlfn.BINOM.INV(MAX(0,(z!F3-pca!F4+o!F3)),MAX(0,MIN(1,VLOOKUP(6,h_nat_tbl,2,FALSE))),RAND()),0)</f>
        <v/>
      </c>
      <c r="H4">
        <f>IFERROR(_xlfn.BINOM.INV(MAX(0,(z!G3-pca!G4+o!G3)),MAX(0,MIN(1,VLOOKUP(7,h_nat_tbl,2,FALSE))),RAND()),0)</f>
        <v/>
      </c>
      <c r="I4">
        <f>IFERROR(_xlfn.BINOM.INV(MAX(0,(z!H3-pca!H4+o!H3)),MAX(0,MIN(1,VLOOKUP(8,h_nat_tbl,2,FALSE))),RAND()),0)</f>
        <v/>
      </c>
      <c r="J4">
        <f>IFERROR(_xlfn.BINOM.INV(MAX(0,(z!I3-pca!I4+o!I3)),MAX(0,MIN(1,VLOOKUP(9,h_nat_tbl,2,FALSE))),RAND()),0)</f>
        <v/>
      </c>
      <c r="K4">
        <f>IFERROR(_xlfn.BINOM.INV(MAX(0,(z!J3-pca!J4+o!J3)),MAX(0,MIN(1,VLOOKUP(10,h_nat_tbl,2,FALSE))),RAND()),0)</f>
        <v/>
      </c>
    </row>
    <row r="5">
      <c r="A5" t="n">
        <v>3</v>
      </c>
      <c r="B5">
        <f>IFERROR(_xlfn.BINOM.INV(MAX(0,(SUM(urodz!C5:K5)-SUM(urodz_ch!C5:K5))),MAX(0,MIN(1,VLOOKUP(1,h_nat_tbl,2,FALSE))),RAND()),0)</f>
        <v/>
      </c>
      <c r="C5">
        <f>IFERROR(_xlfn.BINOM.INV(MAX(0,(z!B4-pca!B5+o!B4)),MAX(0,MIN(1,VLOOKUP(2,h_nat_tbl,2,FALSE))),RAND()),0)</f>
        <v/>
      </c>
      <c r="D5">
        <f>IFERROR(_xlfn.BINOM.INV(MAX(0,(z!C4-pca!C5+o!C4)),MAX(0,MIN(1,VLOOKUP(3,h_nat_tbl,2,FALSE))),RAND()),0)</f>
        <v/>
      </c>
      <c r="E5">
        <f>IFERROR(_xlfn.BINOM.INV(MAX(0,(z!D4-pca!D5+o!D4)),MAX(0,MIN(1,VLOOKUP(4,h_nat_tbl,2,FALSE))),RAND()),0)</f>
        <v/>
      </c>
      <c r="F5">
        <f>IFERROR(_xlfn.BINOM.INV(MAX(0,(z!E4-pca!E5+o!E4)),MAX(0,MIN(1,VLOOKUP(5,h_nat_tbl,2,FALSE))),RAND()),0)</f>
        <v/>
      </c>
      <c r="G5">
        <f>IFERROR(_xlfn.BINOM.INV(MAX(0,(z!F4-pca!F5+o!F4)),MAX(0,MIN(1,VLOOKUP(6,h_nat_tbl,2,FALSE))),RAND()),0)</f>
        <v/>
      </c>
      <c r="H5">
        <f>IFERROR(_xlfn.BINOM.INV(MAX(0,(z!G4-pca!G5+o!G4)),MAX(0,MIN(1,VLOOKUP(7,h_nat_tbl,2,FALSE))),RAND()),0)</f>
        <v/>
      </c>
      <c r="I5">
        <f>IFERROR(_xlfn.BINOM.INV(MAX(0,(z!H4-pca!H5+o!H4)),MAX(0,MIN(1,VLOOKUP(8,h_nat_tbl,2,FALSE))),RAND()),0)</f>
        <v/>
      </c>
      <c r="J5">
        <f>IFERROR(_xlfn.BINOM.INV(MAX(0,(z!I4-pca!I5+o!I4)),MAX(0,MIN(1,VLOOKUP(9,h_nat_tbl,2,FALSE))),RAND()),0)</f>
        <v/>
      </c>
      <c r="K5">
        <f>IFERROR(_xlfn.BINOM.INV(MAX(0,(z!J4-pca!J5+o!J4)),MAX(0,MIN(1,VLOOKUP(10,h_nat_tbl,2,FALSE))),RAND()),0)</f>
        <v/>
      </c>
    </row>
    <row r="6">
      <c r="A6" t="n">
        <v>4</v>
      </c>
      <c r="B6">
        <f>IFERROR(_xlfn.BINOM.INV(MAX(0,(SUM(urodz!C6:K6)-SUM(urodz_ch!C6:K6))),MAX(0,MIN(1,VLOOKUP(1,h_nat_tbl,2,FALSE))),RAND()),0)</f>
        <v/>
      </c>
      <c r="C6">
        <f>IFERROR(_xlfn.BINOM.INV(MAX(0,(z!B5-pca!B6+o!B5)),MAX(0,MIN(1,VLOOKUP(2,h_nat_tbl,2,FALSE))),RAND()),0)</f>
        <v/>
      </c>
      <c r="D6">
        <f>IFERROR(_xlfn.BINOM.INV(MAX(0,(z!C5-pca!C6+o!C5)),MAX(0,MIN(1,VLOOKUP(3,h_nat_tbl,2,FALSE))),RAND()),0)</f>
        <v/>
      </c>
      <c r="E6">
        <f>IFERROR(_xlfn.BINOM.INV(MAX(0,(z!D5-pca!D6+o!D5)),MAX(0,MIN(1,VLOOKUP(4,h_nat_tbl,2,FALSE))),RAND()),0)</f>
        <v/>
      </c>
      <c r="F6">
        <f>IFERROR(_xlfn.BINOM.INV(MAX(0,(z!E5-pca!E6+o!E5)),MAX(0,MIN(1,VLOOKUP(5,h_nat_tbl,2,FALSE))),RAND()),0)</f>
        <v/>
      </c>
      <c r="G6">
        <f>IFERROR(_xlfn.BINOM.INV(MAX(0,(z!F5-pca!F6+o!F5)),MAX(0,MIN(1,VLOOKUP(6,h_nat_tbl,2,FALSE))),RAND()),0)</f>
        <v/>
      </c>
      <c r="H6">
        <f>IFERROR(_xlfn.BINOM.INV(MAX(0,(z!G5-pca!G6+o!G5)),MAX(0,MIN(1,VLOOKUP(7,h_nat_tbl,2,FALSE))),RAND()),0)</f>
        <v/>
      </c>
      <c r="I6">
        <f>IFERROR(_xlfn.BINOM.INV(MAX(0,(z!H5-pca!H6+o!H5)),MAX(0,MIN(1,VLOOKUP(8,h_nat_tbl,2,FALSE))),RAND()),0)</f>
        <v/>
      </c>
      <c r="J6">
        <f>IFERROR(_xlfn.BINOM.INV(MAX(0,(z!I5-pca!I6+o!I5)),MAX(0,MIN(1,VLOOKUP(9,h_nat_tbl,2,FALSE))),RAND()),0)</f>
        <v/>
      </c>
      <c r="K6">
        <f>IFERROR(_xlfn.BINOM.INV(MAX(0,(z!J5-pca!J6+o!J5)),MAX(0,MIN(1,VLOOKUP(10,h_nat_tbl,2,FALSE))),RAND()),0)</f>
        <v/>
      </c>
    </row>
    <row r="7">
      <c r="A7" t="n">
        <v>5</v>
      </c>
      <c r="B7">
        <f>IFERROR(_xlfn.BINOM.INV(MAX(0,(SUM(urodz!C7:K7)-SUM(urodz_ch!C7:K7))),MAX(0,MIN(1,VLOOKUP(1,h_nat_tbl,2,FALSE))),RAND()),0)</f>
        <v/>
      </c>
      <c r="C7">
        <f>IFERROR(_xlfn.BINOM.INV(MAX(0,(z!B6-pca!B7+o!B6)),MAX(0,MIN(1,VLOOKUP(2,h_nat_tbl,2,FALSE))),RAND()),0)</f>
        <v/>
      </c>
      <c r="D7">
        <f>IFERROR(_xlfn.BINOM.INV(MAX(0,(z!C6-pca!C7+o!C6)),MAX(0,MIN(1,VLOOKUP(3,h_nat_tbl,2,FALSE))),RAND()),0)</f>
        <v/>
      </c>
      <c r="E7">
        <f>IFERROR(_xlfn.BINOM.INV(MAX(0,(z!D6-pca!D7+o!D6)),MAX(0,MIN(1,VLOOKUP(4,h_nat_tbl,2,FALSE))),RAND()),0)</f>
        <v/>
      </c>
      <c r="F7">
        <f>IFERROR(_xlfn.BINOM.INV(MAX(0,(z!E6-pca!E7+o!E6)),MAX(0,MIN(1,VLOOKUP(5,h_nat_tbl,2,FALSE))),RAND()),0)</f>
        <v/>
      </c>
      <c r="G7">
        <f>IFERROR(_xlfn.BINOM.INV(MAX(0,(z!F6-pca!F7+o!F6)),MAX(0,MIN(1,VLOOKUP(6,h_nat_tbl,2,FALSE))),RAND()),0)</f>
        <v/>
      </c>
      <c r="H7">
        <f>IFERROR(_xlfn.BINOM.INV(MAX(0,(z!G6-pca!G7+o!G6)),MAX(0,MIN(1,VLOOKUP(7,h_nat_tbl,2,FALSE))),RAND()),0)</f>
        <v/>
      </c>
      <c r="I7">
        <f>IFERROR(_xlfn.BINOM.INV(MAX(0,(z!H6-pca!H7+o!H6)),MAX(0,MIN(1,VLOOKUP(8,h_nat_tbl,2,FALSE))),RAND()),0)</f>
        <v/>
      </c>
      <c r="J7">
        <f>IFERROR(_xlfn.BINOM.INV(MAX(0,(z!I6-pca!I7+o!I6)),MAX(0,MIN(1,VLOOKUP(9,h_nat_tbl,2,FALSE))),RAND()),0)</f>
        <v/>
      </c>
      <c r="K7">
        <f>IFERROR(_xlfn.BINOM.INV(MAX(0,(z!J6-pca!J7+o!J6)),MAX(0,MIN(1,VLOOKUP(10,h_nat_tbl,2,FALSE))),RAND()),0)</f>
        <v/>
      </c>
    </row>
    <row r="8">
      <c r="A8" t="n">
        <v>6</v>
      </c>
      <c r="B8">
        <f>IFERROR(_xlfn.BINOM.INV(MAX(0,(SUM(urodz!C8:K8)-SUM(urodz_ch!C8:K8))),MAX(0,MIN(1,VLOOKUP(1,h_nat_tbl,2,FALSE))),RAND()),0)</f>
        <v/>
      </c>
      <c r="C8">
        <f>IFERROR(_xlfn.BINOM.INV(MAX(0,(z!B7-pca!B8+o!B7)),MAX(0,MIN(1,VLOOKUP(2,h_nat_tbl,2,FALSE))),RAND()),0)</f>
        <v/>
      </c>
      <c r="D8">
        <f>IFERROR(_xlfn.BINOM.INV(MAX(0,(z!C7-pca!C8+o!C7)),MAX(0,MIN(1,VLOOKUP(3,h_nat_tbl,2,FALSE))),RAND()),0)</f>
        <v/>
      </c>
      <c r="E8">
        <f>IFERROR(_xlfn.BINOM.INV(MAX(0,(z!D7-pca!D8+o!D7)),MAX(0,MIN(1,VLOOKUP(4,h_nat_tbl,2,FALSE))),RAND()),0)</f>
        <v/>
      </c>
      <c r="F8">
        <f>IFERROR(_xlfn.BINOM.INV(MAX(0,(z!E7-pca!E8+o!E7)),MAX(0,MIN(1,VLOOKUP(5,h_nat_tbl,2,FALSE))),RAND()),0)</f>
        <v/>
      </c>
      <c r="G8">
        <f>IFERROR(_xlfn.BINOM.INV(MAX(0,(z!F7-pca!F8+o!F7)),MAX(0,MIN(1,VLOOKUP(6,h_nat_tbl,2,FALSE))),RAND()),0)</f>
        <v/>
      </c>
      <c r="H8">
        <f>IFERROR(_xlfn.BINOM.INV(MAX(0,(z!G7-pca!G8+o!G7)),MAX(0,MIN(1,VLOOKUP(7,h_nat_tbl,2,FALSE))),RAND()),0)</f>
        <v/>
      </c>
      <c r="I8">
        <f>IFERROR(_xlfn.BINOM.INV(MAX(0,(z!H7-pca!H8+o!H7)),MAX(0,MIN(1,VLOOKUP(8,h_nat_tbl,2,FALSE))),RAND()),0)</f>
        <v/>
      </c>
      <c r="J8">
        <f>IFERROR(_xlfn.BINOM.INV(MAX(0,(z!I7-pca!I8+o!I7)),MAX(0,MIN(1,VLOOKUP(9,h_nat_tbl,2,FALSE))),RAND()),0)</f>
        <v/>
      </c>
      <c r="K8">
        <f>IFERROR(_xlfn.BINOM.INV(MAX(0,(z!J7-pca!J8+o!J7)),MAX(0,MIN(1,VLOOKUP(10,h_nat_tbl,2,FALSE))),RAND()),0)</f>
        <v/>
      </c>
    </row>
    <row r="9">
      <c r="A9" t="n">
        <v>7</v>
      </c>
      <c r="B9">
        <f>IFERROR(_xlfn.BINOM.INV(MAX(0,(SUM(urodz!C9:K9)-SUM(urodz_ch!C9:K9))),MAX(0,MIN(1,VLOOKUP(1,h_nat_tbl,2,FALSE))),RAND()),0)</f>
        <v/>
      </c>
      <c r="C9">
        <f>IFERROR(_xlfn.BINOM.INV(MAX(0,(z!B8-pca!B9+o!B8)),MAX(0,MIN(1,VLOOKUP(2,h_nat_tbl,2,FALSE))),RAND()),0)</f>
        <v/>
      </c>
      <c r="D9">
        <f>IFERROR(_xlfn.BINOM.INV(MAX(0,(z!C8-pca!C9+o!C8)),MAX(0,MIN(1,VLOOKUP(3,h_nat_tbl,2,FALSE))),RAND()),0)</f>
        <v/>
      </c>
      <c r="E9">
        <f>IFERROR(_xlfn.BINOM.INV(MAX(0,(z!D8-pca!D9+o!D8)),MAX(0,MIN(1,VLOOKUP(4,h_nat_tbl,2,FALSE))),RAND()),0)</f>
        <v/>
      </c>
      <c r="F9">
        <f>IFERROR(_xlfn.BINOM.INV(MAX(0,(z!E8-pca!E9+o!E8)),MAX(0,MIN(1,VLOOKUP(5,h_nat_tbl,2,FALSE))),RAND()),0)</f>
        <v/>
      </c>
      <c r="G9">
        <f>IFERROR(_xlfn.BINOM.INV(MAX(0,(z!F8-pca!F9+o!F8)),MAX(0,MIN(1,VLOOKUP(6,h_nat_tbl,2,FALSE))),RAND()),0)</f>
        <v/>
      </c>
      <c r="H9">
        <f>IFERROR(_xlfn.BINOM.INV(MAX(0,(z!G8-pca!G9+o!G8)),MAX(0,MIN(1,VLOOKUP(7,h_nat_tbl,2,FALSE))),RAND()),0)</f>
        <v/>
      </c>
      <c r="I9">
        <f>IFERROR(_xlfn.BINOM.INV(MAX(0,(z!H8-pca!H9+o!H8)),MAX(0,MIN(1,VLOOKUP(8,h_nat_tbl,2,FALSE))),RAND()),0)</f>
        <v/>
      </c>
      <c r="J9">
        <f>IFERROR(_xlfn.BINOM.INV(MAX(0,(z!I8-pca!I9+o!I8)),MAX(0,MIN(1,VLOOKUP(9,h_nat_tbl,2,FALSE))),RAND()),0)</f>
        <v/>
      </c>
      <c r="K9">
        <f>IFERROR(_xlfn.BINOM.INV(MAX(0,(z!J8-pca!J9+o!J8)),MAX(0,MIN(1,VLOOKUP(10,h_nat_tbl,2,FALSE))),RAND()),0)</f>
        <v/>
      </c>
    </row>
    <row r="10">
      <c r="A10" t="n">
        <v>8</v>
      </c>
      <c r="B10">
        <f>IFERROR(_xlfn.BINOM.INV(MAX(0,(SUM(urodz!C10:K10)-SUM(urodz_ch!C10:K10))),MAX(0,MIN(1,VLOOKUP(1,h_nat_tbl,2,FALSE))),RAND()),0)</f>
        <v/>
      </c>
      <c r="C10">
        <f>IFERROR(_xlfn.BINOM.INV(MAX(0,(z!B9-pca!B10+o!B9)),MAX(0,MIN(1,VLOOKUP(2,h_nat_tbl,2,FALSE))),RAND()),0)</f>
        <v/>
      </c>
      <c r="D10">
        <f>IFERROR(_xlfn.BINOM.INV(MAX(0,(z!C9-pca!C10+o!C9)),MAX(0,MIN(1,VLOOKUP(3,h_nat_tbl,2,FALSE))),RAND()),0)</f>
        <v/>
      </c>
      <c r="E10">
        <f>IFERROR(_xlfn.BINOM.INV(MAX(0,(z!D9-pca!D10+o!D9)),MAX(0,MIN(1,VLOOKUP(4,h_nat_tbl,2,FALSE))),RAND()),0)</f>
        <v/>
      </c>
      <c r="F10">
        <f>IFERROR(_xlfn.BINOM.INV(MAX(0,(z!E9-pca!E10+o!E9)),MAX(0,MIN(1,VLOOKUP(5,h_nat_tbl,2,FALSE))),RAND()),0)</f>
        <v/>
      </c>
      <c r="G10">
        <f>IFERROR(_xlfn.BINOM.INV(MAX(0,(z!F9-pca!F10+o!F9)),MAX(0,MIN(1,VLOOKUP(6,h_nat_tbl,2,FALSE))),RAND()),0)</f>
        <v/>
      </c>
      <c r="H10">
        <f>IFERROR(_xlfn.BINOM.INV(MAX(0,(z!G9-pca!G10+o!G9)),MAX(0,MIN(1,VLOOKUP(7,h_nat_tbl,2,FALSE))),RAND()),0)</f>
        <v/>
      </c>
      <c r="I10">
        <f>IFERROR(_xlfn.BINOM.INV(MAX(0,(z!H9-pca!H10+o!H9)),MAX(0,MIN(1,VLOOKUP(8,h_nat_tbl,2,FALSE))),RAND()),0)</f>
        <v/>
      </c>
      <c r="J10">
        <f>IFERROR(_xlfn.BINOM.INV(MAX(0,(z!I9-pca!I10+o!I9)),MAX(0,MIN(1,VLOOKUP(9,h_nat_tbl,2,FALSE))),RAND()),0)</f>
        <v/>
      </c>
      <c r="K10">
        <f>IFERROR(_xlfn.BINOM.INV(MAX(0,(z!J9-pca!J10+o!J9)),MAX(0,MIN(1,VLOOKUP(10,h_nat_tbl,2,FALSE))),RAND()),0)</f>
        <v/>
      </c>
    </row>
    <row r="11">
      <c r="A11" t="n">
        <v>9</v>
      </c>
      <c r="B11">
        <f>IFERROR(_xlfn.BINOM.INV(MAX(0,(SUM(urodz!C11:K11)-SUM(urodz_ch!C11:K11))),MAX(0,MIN(1,VLOOKUP(1,h_nat_tbl,2,FALSE))),RAND()),0)</f>
        <v/>
      </c>
      <c r="C11">
        <f>IFERROR(_xlfn.BINOM.INV(MAX(0,(z!B10-pca!B11+o!B10)),MAX(0,MIN(1,VLOOKUP(2,h_nat_tbl,2,FALSE))),RAND()),0)</f>
        <v/>
      </c>
      <c r="D11">
        <f>IFERROR(_xlfn.BINOM.INV(MAX(0,(z!C10-pca!C11+o!C10)),MAX(0,MIN(1,VLOOKUP(3,h_nat_tbl,2,FALSE))),RAND()),0)</f>
        <v/>
      </c>
      <c r="E11">
        <f>IFERROR(_xlfn.BINOM.INV(MAX(0,(z!D10-pca!D11+o!D10)),MAX(0,MIN(1,VLOOKUP(4,h_nat_tbl,2,FALSE))),RAND()),0)</f>
        <v/>
      </c>
      <c r="F11">
        <f>IFERROR(_xlfn.BINOM.INV(MAX(0,(z!E10-pca!E11+o!E10)),MAX(0,MIN(1,VLOOKUP(5,h_nat_tbl,2,FALSE))),RAND()),0)</f>
        <v/>
      </c>
      <c r="G11">
        <f>IFERROR(_xlfn.BINOM.INV(MAX(0,(z!F10-pca!F11+o!F10)),MAX(0,MIN(1,VLOOKUP(6,h_nat_tbl,2,FALSE))),RAND()),0)</f>
        <v/>
      </c>
      <c r="H11">
        <f>IFERROR(_xlfn.BINOM.INV(MAX(0,(z!G10-pca!G11+o!G10)),MAX(0,MIN(1,VLOOKUP(7,h_nat_tbl,2,FALSE))),RAND()),0)</f>
        <v/>
      </c>
      <c r="I11">
        <f>IFERROR(_xlfn.BINOM.INV(MAX(0,(z!H10-pca!H11+o!H10)),MAX(0,MIN(1,VLOOKUP(8,h_nat_tbl,2,FALSE))),RAND()),0)</f>
        <v/>
      </c>
      <c r="J11">
        <f>IFERROR(_xlfn.BINOM.INV(MAX(0,(z!I10-pca!I11+o!I10)),MAX(0,MIN(1,VLOOKUP(9,h_nat_tbl,2,FALSE))),RAND()),0)</f>
        <v/>
      </c>
      <c r="K11">
        <f>IFERROR(_xlfn.BINOM.INV(MAX(0,(z!J10-pca!J11+o!J10)),MAX(0,MIN(1,VLOOKUP(10,h_nat_tbl,2,FALSE))),RAND()),0)</f>
        <v/>
      </c>
    </row>
    <row r="12">
      <c r="A12" t="n">
        <v>10</v>
      </c>
      <c r="B12">
        <f>IFERROR(_xlfn.BINOM.INV(MAX(0,(SUM(urodz!C12:K12)-SUM(urodz_ch!C12:K12))),MAX(0,MIN(1,VLOOKUP(1,h_nat_tbl,2,FALSE))),RAND()),0)</f>
        <v/>
      </c>
      <c r="C12">
        <f>IFERROR(_xlfn.BINOM.INV(MAX(0,(z!B11-pca!B12+o!B11)),MAX(0,MIN(1,VLOOKUP(2,h_nat_tbl,2,FALSE))),RAND()),0)</f>
        <v/>
      </c>
      <c r="D12">
        <f>IFERROR(_xlfn.BINOM.INV(MAX(0,(z!C11-pca!C12+o!C11)),MAX(0,MIN(1,VLOOKUP(3,h_nat_tbl,2,FALSE))),RAND()),0)</f>
        <v/>
      </c>
      <c r="E12">
        <f>IFERROR(_xlfn.BINOM.INV(MAX(0,(z!D11-pca!D12+o!D11)),MAX(0,MIN(1,VLOOKUP(4,h_nat_tbl,2,FALSE))),RAND()),0)</f>
        <v/>
      </c>
      <c r="F12">
        <f>IFERROR(_xlfn.BINOM.INV(MAX(0,(z!E11-pca!E12+o!E11)),MAX(0,MIN(1,VLOOKUP(5,h_nat_tbl,2,FALSE))),RAND()),0)</f>
        <v/>
      </c>
      <c r="G12">
        <f>IFERROR(_xlfn.BINOM.INV(MAX(0,(z!F11-pca!F12+o!F11)),MAX(0,MIN(1,VLOOKUP(6,h_nat_tbl,2,FALSE))),RAND()),0)</f>
        <v/>
      </c>
      <c r="H12">
        <f>IFERROR(_xlfn.BINOM.INV(MAX(0,(z!G11-pca!G12+o!G11)),MAX(0,MIN(1,VLOOKUP(7,h_nat_tbl,2,FALSE))),RAND()),0)</f>
        <v/>
      </c>
      <c r="I12">
        <f>IFERROR(_xlfn.BINOM.INV(MAX(0,(z!H11-pca!H12+o!H11)),MAX(0,MIN(1,VLOOKUP(8,h_nat_tbl,2,FALSE))),RAND()),0)</f>
        <v/>
      </c>
      <c r="J12">
        <f>IFERROR(_xlfn.BINOM.INV(MAX(0,(z!I11-pca!I12+o!I11)),MAX(0,MIN(1,VLOOKUP(9,h_nat_tbl,2,FALSE))),RAND()),0)</f>
        <v/>
      </c>
      <c r="K12">
        <f>IFERROR(_xlfn.BINOM.INV(MAX(0,(z!J11-pca!J12+o!J11)),MAX(0,MIN(1,VLOOKUP(10,h_nat_tbl,2,FALSE))),RAND()),0)</f>
        <v/>
      </c>
    </row>
    <row r="13">
      <c r="A13" t="n">
        <v>11</v>
      </c>
      <c r="B13">
        <f>IFERROR(_xlfn.BINOM.INV(MAX(0,(SUM(urodz!C13:K13)-SUM(urodz_ch!C13:K13))),MAX(0,MIN(1,VLOOKUP(1,h_nat_tbl,2,FALSE))),RAND()),0)</f>
        <v/>
      </c>
      <c r="C13">
        <f>IFERROR(_xlfn.BINOM.INV(MAX(0,(z!B12-pca!B13+o!B12)),MAX(0,MIN(1,VLOOKUP(2,h_nat_tbl,2,FALSE))),RAND()),0)</f>
        <v/>
      </c>
      <c r="D13">
        <f>IFERROR(_xlfn.BINOM.INV(MAX(0,(z!C12-pca!C13+o!C12)),MAX(0,MIN(1,VLOOKUP(3,h_nat_tbl,2,FALSE))),RAND()),0)</f>
        <v/>
      </c>
      <c r="E13">
        <f>IFERROR(_xlfn.BINOM.INV(MAX(0,(z!D12-pca!D13+o!D12)),MAX(0,MIN(1,VLOOKUP(4,h_nat_tbl,2,FALSE))),RAND()),0)</f>
        <v/>
      </c>
      <c r="F13">
        <f>IFERROR(_xlfn.BINOM.INV(MAX(0,(z!E12-pca!E13+o!E12)),MAX(0,MIN(1,VLOOKUP(5,h_nat_tbl,2,FALSE))),RAND()),0)</f>
        <v/>
      </c>
      <c r="G13">
        <f>IFERROR(_xlfn.BINOM.INV(MAX(0,(z!F12-pca!F13+o!F12)),MAX(0,MIN(1,VLOOKUP(6,h_nat_tbl,2,FALSE))),RAND()),0)</f>
        <v/>
      </c>
      <c r="H13">
        <f>IFERROR(_xlfn.BINOM.INV(MAX(0,(z!G12-pca!G13+o!G12)),MAX(0,MIN(1,VLOOKUP(7,h_nat_tbl,2,FALSE))),RAND()),0)</f>
        <v/>
      </c>
      <c r="I13">
        <f>IFERROR(_xlfn.BINOM.INV(MAX(0,(z!H12-pca!H13+o!H12)),MAX(0,MIN(1,VLOOKUP(8,h_nat_tbl,2,FALSE))),RAND()),0)</f>
        <v/>
      </c>
      <c r="J13">
        <f>IFERROR(_xlfn.BINOM.INV(MAX(0,(z!I12-pca!I13+o!I12)),MAX(0,MIN(1,VLOOKUP(9,h_nat_tbl,2,FALSE))),RAND()),0)</f>
        <v/>
      </c>
      <c r="K13">
        <f>IFERROR(_xlfn.BINOM.INV(MAX(0,(z!J12-pca!J13+o!J12)),MAX(0,MIN(1,VLOOKUP(10,h_nat_tbl,2,FALSE))),RAND()),0)</f>
        <v/>
      </c>
    </row>
    <row r="14">
      <c r="A14" t="n">
        <v>12</v>
      </c>
      <c r="B14">
        <f>IFERROR(_xlfn.BINOM.INV(MAX(0,(SUM(urodz!C14:K14)-SUM(urodz_ch!C14:K14))),MAX(0,MIN(1,VLOOKUP(1,h_nat_tbl,2,FALSE))),RAND()),0)</f>
        <v/>
      </c>
      <c r="C14">
        <f>IFERROR(_xlfn.BINOM.INV(MAX(0,(z!B13-pca!B14+o!B13)),MAX(0,MIN(1,VLOOKUP(2,h_nat_tbl,2,FALSE))),RAND()),0)</f>
        <v/>
      </c>
      <c r="D14">
        <f>IFERROR(_xlfn.BINOM.INV(MAX(0,(z!C13-pca!C14+o!C13)),MAX(0,MIN(1,VLOOKUP(3,h_nat_tbl,2,FALSE))),RAND()),0)</f>
        <v/>
      </c>
      <c r="E14">
        <f>IFERROR(_xlfn.BINOM.INV(MAX(0,(z!D13-pca!D14+o!D13)),MAX(0,MIN(1,VLOOKUP(4,h_nat_tbl,2,FALSE))),RAND()),0)</f>
        <v/>
      </c>
      <c r="F14">
        <f>IFERROR(_xlfn.BINOM.INV(MAX(0,(z!E13-pca!E14+o!E13)),MAX(0,MIN(1,VLOOKUP(5,h_nat_tbl,2,FALSE))),RAND()),0)</f>
        <v/>
      </c>
      <c r="G14">
        <f>IFERROR(_xlfn.BINOM.INV(MAX(0,(z!F13-pca!F14+o!F13)),MAX(0,MIN(1,VLOOKUP(6,h_nat_tbl,2,FALSE))),RAND()),0)</f>
        <v/>
      </c>
      <c r="H14">
        <f>IFERROR(_xlfn.BINOM.INV(MAX(0,(z!G13-pca!G14+o!G13)),MAX(0,MIN(1,VLOOKUP(7,h_nat_tbl,2,FALSE))),RAND()),0)</f>
        <v/>
      </c>
      <c r="I14">
        <f>IFERROR(_xlfn.BINOM.INV(MAX(0,(z!H13-pca!H14+o!H13)),MAX(0,MIN(1,VLOOKUP(8,h_nat_tbl,2,FALSE))),RAND()),0)</f>
        <v/>
      </c>
      <c r="J14">
        <f>IFERROR(_xlfn.BINOM.INV(MAX(0,(z!I13-pca!I14+o!I13)),MAX(0,MIN(1,VLOOKUP(9,h_nat_tbl,2,FALSE))),RAND()),0)</f>
        <v/>
      </c>
      <c r="K14">
        <f>IFERROR(_xlfn.BINOM.INV(MAX(0,(z!J13-pca!J14+o!J13)),MAX(0,MIN(1,VLOOKUP(10,h_nat_tbl,2,FALSE))),RAND()),0)</f>
        <v/>
      </c>
    </row>
    <row r="15">
      <c r="A15" t="n">
        <v>13</v>
      </c>
      <c r="B15">
        <f>IFERROR(_xlfn.BINOM.INV(MAX(0,(SUM(urodz!C15:K15)-SUM(urodz_ch!C15:K15))),MAX(0,MIN(1,VLOOKUP(1,h_nat_tbl,2,FALSE))),RAND()),0)</f>
        <v/>
      </c>
      <c r="C15">
        <f>IFERROR(_xlfn.BINOM.INV(MAX(0,(z!B14-pca!B15+o!B14)),MAX(0,MIN(1,VLOOKUP(2,h_nat_tbl,2,FALSE))),RAND()),0)</f>
        <v/>
      </c>
      <c r="D15">
        <f>IFERROR(_xlfn.BINOM.INV(MAX(0,(z!C14-pca!C15+o!C14)),MAX(0,MIN(1,VLOOKUP(3,h_nat_tbl,2,FALSE))),RAND()),0)</f>
        <v/>
      </c>
      <c r="E15">
        <f>IFERROR(_xlfn.BINOM.INV(MAX(0,(z!D14-pca!D15+o!D14)),MAX(0,MIN(1,VLOOKUP(4,h_nat_tbl,2,FALSE))),RAND()),0)</f>
        <v/>
      </c>
      <c r="F15">
        <f>IFERROR(_xlfn.BINOM.INV(MAX(0,(z!E14-pca!E15+o!E14)),MAX(0,MIN(1,VLOOKUP(5,h_nat_tbl,2,FALSE))),RAND()),0)</f>
        <v/>
      </c>
      <c r="G15">
        <f>IFERROR(_xlfn.BINOM.INV(MAX(0,(z!F14-pca!F15+o!F14)),MAX(0,MIN(1,VLOOKUP(6,h_nat_tbl,2,FALSE))),RAND()),0)</f>
        <v/>
      </c>
      <c r="H15">
        <f>IFERROR(_xlfn.BINOM.INV(MAX(0,(z!G14-pca!G15+o!G14)),MAX(0,MIN(1,VLOOKUP(7,h_nat_tbl,2,FALSE))),RAND()),0)</f>
        <v/>
      </c>
      <c r="I15">
        <f>IFERROR(_xlfn.BINOM.INV(MAX(0,(z!H14-pca!H15+o!H14)),MAX(0,MIN(1,VLOOKUP(8,h_nat_tbl,2,FALSE))),RAND()),0)</f>
        <v/>
      </c>
      <c r="J15">
        <f>IFERROR(_xlfn.BINOM.INV(MAX(0,(z!I14-pca!I15+o!I14)),MAX(0,MIN(1,VLOOKUP(9,h_nat_tbl,2,FALSE))),RAND()),0)</f>
        <v/>
      </c>
      <c r="K15">
        <f>IFERROR(_xlfn.BINOM.INV(MAX(0,(z!J14-pca!J15+o!J14)),MAX(0,MIN(1,VLOOKUP(10,h_nat_tbl,2,FALSE))),RAND()),0)</f>
        <v/>
      </c>
    </row>
    <row r="16">
      <c r="A16" t="n">
        <v>14</v>
      </c>
      <c r="B16">
        <f>IFERROR(_xlfn.BINOM.INV(MAX(0,(SUM(urodz!C16:K16)-SUM(urodz_ch!C16:K16))),MAX(0,MIN(1,VLOOKUP(1,h_nat_tbl,2,FALSE))),RAND()),0)</f>
        <v/>
      </c>
      <c r="C16">
        <f>IFERROR(_xlfn.BINOM.INV(MAX(0,(z!B15-pca!B16+o!B15)),MAX(0,MIN(1,VLOOKUP(2,h_nat_tbl,2,FALSE))),RAND()),0)</f>
        <v/>
      </c>
      <c r="D16">
        <f>IFERROR(_xlfn.BINOM.INV(MAX(0,(z!C15-pca!C16+o!C15)),MAX(0,MIN(1,VLOOKUP(3,h_nat_tbl,2,FALSE))),RAND()),0)</f>
        <v/>
      </c>
      <c r="E16">
        <f>IFERROR(_xlfn.BINOM.INV(MAX(0,(z!D15-pca!D16+o!D15)),MAX(0,MIN(1,VLOOKUP(4,h_nat_tbl,2,FALSE))),RAND()),0)</f>
        <v/>
      </c>
      <c r="F16">
        <f>IFERROR(_xlfn.BINOM.INV(MAX(0,(z!E15-pca!E16+o!E15)),MAX(0,MIN(1,VLOOKUP(5,h_nat_tbl,2,FALSE))),RAND()),0)</f>
        <v/>
      </c>
      <c r="G16">
        <f>IFERROR(_xlfn.BINOM.INV(MAX(0,(z!F15-pca!F16+o!F15)),MAX(0,MIN(1,VLOOKUP(6,h_nat_tbl,2,FALSE))),RAND()),0)</f>
        <v/>
      </c>
      <c r="H16">
        <f>IFERROR(_xlfn.BINOM.INV(MAX(0,(z!G15-pca!G16+o!G15)),MAX(0,MIN(1,VLOOKUP(7,h_nat_tbl,2,FALSE))),RAND()),0)</f>
        <v/>
      </c>
      <c r="I16">
        <f>IFERROR(_xlfn.BINOM.INV(MAX(0,(z!H15-pca!H16+o!H15)),MAX(0,MIN(1,VLOOKUP(8,h_nat_tbl,2,FALSE))),RAND()),0)</f>
        <v/>
      </c>
      <c r="J16">
        <f>IFERROR(_xlfn.BINOM.INV(MAX(0,(z!I15-pca!I16+o!I15)),MAX(0,MIN(1,VLOOKUP(9,h_nat_tbl,2,FALSE))),RAND()),0)</f>
        <v/>
      </c>
      <c r="K16">
        <f>IFERROR(_xlfn.BINOM.INV(MAX(0,(z!J15-pca!J16+o!J15)),MAX(0,MIN(1,VLOOKUP(10,h_nat_tbl,2,FALSE))),RAND()),0)</f>
        <v/>
      </c>
    </row>
    <row r="17">
      <c r="A17" t="n">
        <v>15</v>
      </c>
      <c r="B17">
        <f>IFERROR(_xlfn.BINOM.INV(MAX(0,(SUM(urodz!C17:K17)-SUM(urodz_ch!C17:K17))),MAX(0,MIN(1,VLOOKUP(1,h_nat_tbl,2,FALSE))),RAND()),0)</f>
        <v/>
      </c>
      <c r="C17">
        <f>IFERROR(_xlfn.BINOM.INV(MAX(0,(z!B16-pca!B17+o!B16)),MAX(0,MIN(1,VLOOKUP(2,h_nat_tbl,2,FALSE))),RAND()),0)</f>
        <v/>
      </c>
      <c r="D17">
        <f>IFERROR(_xlfn.BINOM.INV(MAX(0,(z!C16-pca!C17+o!C16)),MAX(0,MIN(1,VLOOKUP(3,h_nat_tbl,2,FALSE))),RAND()),0)</f>
        <v/>
      </c>
      <c r="E17">
        <f>IFERROR(_xlfn.BINOM.INV(MAX(0,(z!D16-pca!D17+o!D16)),MAX(0,MIN(1,VLOOKUP(4,h_nat_tbl,2,FALSE))),RAND()),0)</f>
        <v/>
      </c>
      <c r="F17">
        <f>IFERROR(_xlfn.BINOM.INV(MAX(0,(z!E16-pca!E17+o!E16)),MAX(0,MIN(1,VLOOKUP(5,h_nat_tbl,2,FALSE))),RAND()),0)</f>
        <v/>
      </c>
      <c r="G17">
        <f>IFERROR(_xlfn.BINOM.INV(MAX(0,(z!F16-pca!F17+o!F16)),MAX(0,MIN(1,VLOOKUP(6,h_nat_tbl,2,FALSE))),RAND()),0)</f>
        <v/>
      </c>
      <c r="H17">
        <f>IFERROR(_xlfn.BINOM.INV(MAX(0,(z!G16-pca!G17+o!G16)),MAX(0,MIN(1,VLOOKUP(7,h_nat_tbl,2,FALSE))),RAND()),0)</f>
        <v/>
      </c>
      <c r="I17">
        <f>IFERROR(_xlfn.BINOM.INV(MAX(0,(z!H16-pca!H17+o!H16)),MAX(0,MIN(1,VLOOKUP(8,h_nat_tbl,2,FALSE))),RAND()),0)</f>
        <v/>
      </c>
      <c r="J17">
        <f>IFERROR(_xlfn.BINOM.INV(MAX(0,(z!I16-pca!I17+o!I16)),MAX(0,MIN(1,VLOOKUP(9,h_nat_tbl,2,FALSE))),RAND()),0)</f>
        <v/>
      </c>
      <c r="K17">
        <f>IFERROR(_xlfn.BINOM.INV(MAX(0,(z!J16-pca!J17+o!J16)),MAX(0,MIN(1,VLOOKUP(10,h_nat_tbl,2,FALSE))),RAND()),0)</f>
        <v/>
      </c>
    </row>
    <row r="18">
      <c r="A18" t="n">
        <v>16</v>
      </c>
      <c r="B18">
        <f>IFERROR(_xlfn.BINOM.INV(MAX(0,(SUM(urodz!C18:K18)-SUM(urodz_ch!C18:K18))),MAX(0,MIN(1,VLOOKUP(1,h_nat_tbl,2,FALSE))),RAND()),0)</f>
        <v/>
      </c>
      <c r="C18">
        <f>IFERROR(_xlfn.BINOM.INV(MAX(0,(z!B17-pca!B18+o!B17)),MAX(0,MIN(1,VLOOKUP(2,h_nat_tbl,2,FALSE))),RAND()),0)</f>
        <v/>
      </c>
      <c r="D18">
        <f>IFERROR(_xlfn.BINOM.INV(MAX(0,(z!C17-pca!C18+o!C17)),MAX(0,MIN(1,VLOOKUP(3,h_nat_tbl,2,FALSE))),RAND()),0)</f>
        <v/>
      </c>
      <c r="E18">
        <f>IFERROR(_xlfn.BINOM.INV(MAX(0,(z!D17-pca!D18+o!D17)),MAX(0,MIN(1,VLOOKUP(4,h_nat_tbl,2,FALSE))),RAND()),0)</f>
        <v/>
      </c>
      <c r="F18">
        <f>IFERROR(_xlfn.BINOM.INV(MAX(0,(z!E17-pca!E18+o!E17)),MAX(0,MIN(1,VLOOKUP(5,h_nat_tbl,2,FALSE))),RAND()),0)</f>
        <v/>
      </c>
      <c r="G18">
        <f>IFERROR(_xlfn.BINOM.INV(MAX(0,(z!F17-pca!F18+o!F17)),MAX(0,MIN(1,VLOOKUP(6,h_nat_tbl,2,FALSE))),RAND()),0)</f>
        <v/>
      </c>
      <c r="H18">
        <f>IFERROR(_xlfn.BINOM.INV(MAX(0,(z!G17-pca!G18+o!G17)),MAX(0,MIN(1,VLOOKUP(7,h_nat_tbl,2,FALSE))),RAND()),0)</f>
        <v/>
      </c>
      <c r="I18">
        <f>IFERROR(_xlfn.BINOM.INV(MAX(0,(z!H17-pca!H18+o!H17)),MAX(0,MIN(1,VLOOKUP(8,h_nat_tbl,2,FALSE))),RAND()),0)</f>
        <v/>
      </c>
      <c r="J18">
        <f>IFERROR(_xlfn.BINOM.INV(MAX(0,(z!I17-pca!I18+o!I17)),MAX(0,MIN(1,VLOOKUP(9,h_nat_tbl,2,FALSE))),RAND()),0)</f>
        <v/>
      </c>
      <c r="K18">
        <f>IFERROR(_xlfn.BINOM.INV(MAX(0,(z!J17-pca!J18+o!J17)),MAX(0,MIN(1,VLOOKUP(10,h_nat_tbl,2,FALSE))),RAND()),0)</f>
        <v/>
      </c>
    </row>
    <row r="19">
      <c r="A19" t="n">
        <v>17</v>
      </c>
      <c r="B19">
        <f>IFERROR(_xlfn.BINOM.INV(MAX(0,(SUM(urodz!C19:K19)-SUM(urodz_ch!C19:K19))),MAX(0,MIN(1,VLOOKUP(1,h_nat_tbl,2,FALSE))),RAND()),0)</f>
        <v/>
      </c>
      <c r="C19">
        <f>IFERROR(_xlfn.BINOM.INV(MAX(0,(z!B18-pca!B19+o!B18)),MAX(0,MIN(1,VLOOKUP(2,h_nat_tbl,2,FALSE))),RAND()),0)</f>
        <v/>
      </c>
      <c r="D19">
        <f>IFERROR(_xlfn.BINOM.INV(MAX(0,(z!C18-pca!C19+o!C18)),MAX(0,MIN(1,VLOOKUP(3,h_nat_tbl,2,FALSE))),RAND()),0)</f>
        <v/>
      </c>
      <c r="E19">
        <f>IFERROR(_xlfn.BINOM.INV(MAX(0,(z!D18-pca!D19+o!D18)),MAX(0,MIN(1,VLOOKUP(4,h_nat_tbl,2,FALSE))),RAND()),0)</f>
        <v/>
      </c>
      <c r="F19">
        <f>IFERROR(_xlfn.BINOM.INV(MAX(0,(z!E18-pca!E19+o!E18)),MAX(0,MIN(1,VLOOKUP(5,h_nat_tbl,2,FALSE))),RAND()),0)</f>
        <v/>
      </c>
      <c r="G19">
        <f>IFERROR(_xlfn.BINOM.INV(MAX(0,(z!F18-pca!F19+o!F18)),MAX(0,MIN(1,VLOOKUP(6,h_nat_tbl,2,FALSE))),RAND()),0)</f>
        <v/>
      </c>
      <c r="H19">
        <f>IFERROR(_xlfn.BINOM.INV(MAX(0,(z!G18-pca!G19+o!G18)),MAX(0,MIN(1,VLOOKUP(7,h_nat_tbl,2,FALSE))),RAND()),0)</f>
        <v/>
      </c>
      <c r="I19">
        <f>IFERROR(_xlfn.BINOM.INV(MAX(0,(z!H18-pca!H19+o!H18)),MAX(0,MIN(1,VLOOKUP(8,h_nat_tbl,2,FALSE))),RAND()),0)</f>
        <v/>
      </c>
      <c r="J19">
        <f>IFERROR(_xlfn.BINOM.INV(MAX(0,(z!I18-pca!I19+o!I18)),MAX(0,MIN(1,VLOOKUP(9,h_nat_tbl,2,FALSE))),RAND()),0)</f>
        <v/>
      </c>
      <c r="K19">
        <f>IFERROR(_xlfn.BINOM.INV(MAX(0,(z!J18-pca!J19+o!J18)),MAX(0,MIN(1,VLOOKUP(10,h_nat_tbl,2,FALSE))),RAND()),0)</f>
        <v/>
      </c>
    </row>
    <row r="20">
      <c r="A20" t="n">
        <v>18</v>
      </c>
      <c r="B20">
        <f>IFERROR(_xlfn.BINOM.INV(MAX(0,(SUM(urodz!C20:K20)-SUM(urodz_ch!C20:K20))),MAX(0,MIN(1,VLOOKUP(1,h_nat_tbl,2,FALSE))),RAND()),0)</f>
        <v/>
      </c>
      <c r="C20">
        <f>IFERROR(_xlfn.BINOM.INV(MAX(0,(z!B19-pca!B20+o!B19)),MAX(0,MIN(1,VLOOKUP(2,h_nat_tbl,2,FALSE))),RAND()),0)</f>
        <v/>
      </c>
      <c r="D20">
        <f>IFERROR(_xlfn.BINOM.INV(MAX(0,(z!C19-pca!C20+o!C19)),MAX(0,MIN(1,VLOOKUP(3,h_nat_tbl,2,FALSE))),RAND()),0)</f>
        <v/>
      </c>
      <c r="E20">
        <f>IFERROR(_xlfn.BINOM.INV(MAX(0,(z!D19-pca!D20+o!D19)),MAX(0,MIN(1,VLOOKUP(4,h_nat_tbl,2,FALSE))),RAND()),0)</f>
        <v/>
      </c>
      <c r="F20">
        <f>IFERROR(_xlfn.BINOM.INV(MAX(0,(z!E19-pca!E20+o!E19)),MAX(0,MIN(1,VLOOKUP(5,h_nat_tbl,2,FALSE))),RAND()),0)</f>
        <v/>
      </c>
      <c r="G20">
        <f>IFERROR(_xlfn.BINOM.INV(MAX(0,(z!F19-pca!F20+o!F19)),MAX(0,MIN(1,VLOOKUP(6,h_nat_tbl,2,FALSE))),RAND()),0)</f>
        <v/>
      </c>
      <c r="H20">
        <f>IFERROR(_xlfn.BINOM.INV(MAX(0,(z!G19-pca!G20+o!G19)),MAX(0,MIN(1,VLOOKUP(7,h_nat_tbl,2,FALSE))),RAND()),0)</f>
        <v/>
      </c>
      <c r="I20">
        <f>IFERROR(_xlfn.BINOM.INV(MAX(0,(z!H19-pca!H20+o!H19)),MAX(0,MIN(1,VLOOKUP(8,h_nat_tbl,2,FALSE))),RAND()),0)</f>
        <v/>
      </c>
      <c r="J20">
        <f>IFERROR(_xlfn.BINOM.INV(MAX(0,(z!I19-pca!I20+o!I19)),MAX(0,MIN(1,VLOOKUP(9,h_nat_tbl,2,FALSE))),RAND()),0)</f>
        <v/>
      </c>
      <c r="K20">
        <f>IFERROR(_xlfn.BINOM.INV(MAX(0,(z!J19-pca!J20+o!J19)),MAX(0,MIN(1,VLOOKUP(10,h_nat_tbl,2,FALSE))),RAND()),0)</f>
        <v/>
      </c>
    </row>
    <row r="21">
      <c r="A21" t="n">
        <v>19</v>
      </c>
      <c r="B21">
        <f>IFERROR(_xlfn.BINOM.INV(MAX(0,(SUM(urodz!C21:K21)-SUM(urodz_ch!C21:K21))),MAX(0,MIN(1,VLOOKUP(1,h_nat_tbl,2,FALSE))),RAND()),0)</f>
        <v/>
      </c>
      <c r="C21">
        <f>IFERROR(_xlfn.BINOM.INV(MAX(0,(z!B20-pca!B21+o!B20)),MAX(0,MIN(1,VLOOKUP(2,h_nat_tbl,2,FALSE))),RAND()),0)</f>
        <v/>
      </c>
      <c r="D21">
        <f>IFERROR(_xlfn.BINOM.INV(MAX(0,(z!C20-pca!C21+o!C20)),MAX(0,MIN(1,VLOOKUP(3,h_nat_tbl,2,FALSE))),RAND()),0)</f>
        <v/>
      </c>
      <c r="E21">
        <f>IFERROR(_xlfn.BINOM.INV(MAX(0,(z!D20-pca!D21+o!D20)),MAX(0,MIN(1,VLOOKUP(4,h_nat_tbl,2,FALSE))),RAND()),0)</f>
        <v/>
      </c>
      <c r="F21">
        <f>IFERROR(_xlfn.BINOM.INV(MAX(0,(z!E20-pca!E21+o!E20)),MAX(0,MIN(1,VLOOKUP(5,h_nat_tbl,2,FALSE))),RAND()),0)</f>
        <v/>
      </c>
      <c r="G21">
        <f>IFERROR(_xlfn.BINOM.INV(MAX(0,(z!F20-pca!F21+o!F20)),MAX(0,MIN(1,VLOOKUP(6,h_nat_tbl,2,FALSE))),RAND()),0)</f>
        <v/>
      </c>
      <c r="H21">
        <f>IFERROR(_xlfn.BINOM.INV(MAX(0,(z!G20-pca!G21+o!G20)),MAX(0,MIN(1,VLOOKUP(7,h_nat_tbl,2,FALSE))),RAND()),0)</f>
        <v/>
      </c>
      <c r="I21">
        <f>IFERROR(_xlfn.BINOM.INV(MAX(0,(z!H20-pca!H21+o!H20)),MAX(0,MIN(1,VLOOKUP(8,h_nat_tbl,2,FALSE))),RAND()),0)</f>
        <v/>
      </c>
      <c r="J21">
        <f>IFERROR(_xlfn.BINOM.INV(MAX(0,(z!I20-pca!I21+o!I20)),MAX(0,MIN(1,VLOOKUP(9,h_nat_tbl,2,FALSE))),RAND()),0)</f>
        <v/>
      </c>
      <c r="K21">
        <f>IFERROR(_xlfn.BINOM.INV(MAX(0,(z!J20-pca!J21+o!J20)),MAX(0,MIN(1,VLOOKUP(10,h_nat_tbl,2,FALSE))),RAND()),0)</f>
        <v/>
      </c>
    </row>
    <row r="22">
      <c r="A22" t="n">
        <v>20</v>
      </c>
      <c r="B22">
        <f>IFERROR(_xlfn.BINOM.INV(MAX(0,(SUM(urodz!C22:K22)-SUM(urodz_ch!C22:K22))),MAX(0,MIN(1,VLOOKUP(1,h_nat_tbl,2,FALSE))),RAND()),0)</f>
        <v/>
      </c>
      <c r="C22">
        <f>IFERROR(_xlfn.BINOM.INV(MAX(0,(z!B21-pca!B22+o!B21)),MAX(0,MIN(1,VLOOKUP(2,h_nat_tbl,2,FALSE))),RAND()),0)</f>
        <v/>
      </c>
      <c r="D22">
        <f>IFERROR(_xlfn.BINOM.INV(MAX(0,(z!C21-pca!C22+o!C21)),MAX(0,MIN(1,VLOOKUP(3,h_nat_tbl,2,FALSE))),RAND()),0)</f>
        <v/>
      </c>
      <c r="E22">
        <f>IFERROR(_xlfn.BINOM.INV(MAX(0,(z!D21-pca!D22+o!D21)),MAX(0,MIN(1,VLOOKUP(4,h_nat_tbl,2,FALSE))),RAND()),0)</f>
        <v/>
      </c>
      <c r="F22">
        <f>IFERROR(_xlfn.BINOM.INV(MAX(0,(z!E21-pca!E22+o!E21)),MAX(0,MIN(1,VLOOKUP(5,h_nat_tbl,2,FALSE))),RAND()),0)</f>
        <v/>
      </c>
      <c r="G22">
        <f>IFERROR(_xlfn.BINOM.INV(MAX(0,(z!F21-pca!F22+o!F21)),MAX(0,MIN(1,VLOOKUP(6,h_nat_tbl,2,FALSE))),RAND()),0)</f>
        <v/>
      </c>
      <c r="H22">
        <f>IFERROR(_xlfn.BINOM.INV(MAX(0,(z!G21-pca!G22+o!G21)),MAX(0,MIN(1,VLOOKUP(7,h_nat_tbl,2,FALSE))),RAND()),0)</f>
        <v/>
      </c>
      <c r="I22">
        <f>IFERROR(_xlfn.BINOM.INV(MAX(0,(z!H21-pca!H22+o!H21)),MAX(0,MIN(1,VLOOKUP(8,h_nat_tbl,2,FALSE))),RAND()),0)</f>
        <v/>
      </c>
      <c r="J22">
        <f>IFERROR(_xlfn.BINOM.INV(MAX(0,(z!I21-pca!I22+o!I21)),MAX(0,MIN(1,VLOOKUP(9,h_nat_tbl,2,FALSE))),RAND()),0)</f>
        <v/>
      </c>
      <c r="K22">
        <f>IFERROR(_xlfn.BINOM.INV(MAX(0,(z!J21-pca!J22+o!J21)),MAX(0,MIN(1,VLOOKUP(10,h_nat_tbl,2,FALSE))),RAND()),0)</f>
        <v/>
      </c>
    </row>
    <row r="23">
      <c r="A23" t="n">
        <v>21</v>
      </c>
      <c r="B23">
        <f>IFERROR(_xlfn.BINOM.INV(MAX(0,(SUM(urodz!C23:K23)-SUM(urodz_ch!C23:K23))),MAX(0,MIN(1,VLOOKUP(1,h_nat_tbl,2,FALSE))),RAND()),0)</f>
        <v/>
      </c>
      <c r="C23">
        <f>IFERROR(_xlfn.BINOM.INV(MAX(0,(z!B22-pca!B23+o!B22)),MAX(0,MIN(1,VLOOKUP(2,h_nat_tbl,2,FALSE))),RAND()),0)</f>
        <v/>
      </c>
      <c r="D23">
        <f>IFERROR(_xlfn.BINOM.INV(MAX(0,(z!C22-pca!C23+o!C22)),MAX(0,MIN(1,VLOOKUP(3,h_nat_tbl,2,FALSE))),RAND()),0)</f>
        <v/>
      </c>
      <c r="E23">
        <f>IFERROR(_xlfn.BINOM.INV(MAX(0,(z!D22-pca!D23+o!D22)),MAX(0,MIN(1,VLOOKUP(4,h_nat_tbl,2,FALSE))),RAND()),0)</f>
        <v/>
      </c>
      <c r="F23">
        <f>IFERROR(_xlfn.BINOM.INV(MAX(0,(z!E22-pca!E23+o!E22)),MAX(0,MIN(1,VLOOKUP(5,h_nat_tbl,2,FALSE))),RAND()),0)</f>
        <v/>
      </c>
      <c r="G23">
        <f>IFERROR(_xlfn.BINOM.INV(MAX(0,(z!F22-pca!F23+o!F22)),MAX(0,MIN(1,VLOOKUP(6,h_nat_tbl,2,FALSE))),RAND()),0)</f>
        <v/>
      </c>
      <c r="H23">
        <f>IFERROR(_xlfn.BINOM.INV(MAX(0,(z!G22-pca!G23+o!G22)),MAX(0,MIN(1,VLOOKUP(7,h_nat_tbl,2,FALSE))),RAND()),0)</f>
        <v/>
      </c>
      <c r="I23">
        <f>IFERROR(_xlfn.BINOM.INV(MAX(0,(z!H22-pca!H23+o!H22)),MAX(0,MIN(1,VLOOKUP(8,h_nat_tbl,2,FALSE))),RAND()),0)</f>
        <v/>
      </c>
      <c r="J23">
        <f>IFERROR(_xlfn.BINOM.INV(MAX(0,(z!I22-pca!I23+o!I22)),MAX(0,MIN(1,VLOOKUP(9,h_nat_tbl,2,FALSE))),RAND()),0)</f>
        <v/>
      </c>
      <c r="K23">
        <f>IFERROR(_xlfn.BINOM.INV(MAX(0,(z!J22-pca!J23+o!J22)),MAX(0,MIN(1,VLOOKUP(10,h_nat_tbl,2,FALSE))),RAND()),0)</f>
        <v/>
      </c>
    </row>
    <row r="24">
      <c r="A24" t="n">
        <v>22</v>
      </c>
      <c r="B24">
        <f>IFERROR(_xlfn.BINOM.INV(MAX(0,(SUM(urodz!C24:K24)-SUM(urodz_ch!C24:K24))),MAX(0,MIN(1,VLOOKUP(1,h_nat_tbl,2,FALSE))),RAND()),0)</f>
        <v/>
      </c>
      <c r="C24">
        <f>IFERROR(_xlfn.BINOM.INV(MAX(0,(z!B23-pca!B24+o!B23)),MAX(0,MIN(1,VLOOKUP(2,h_nat_tbl,2,FALSE))),RAND()),0)</f>
        <v/>
      </c>
      <c r="D24">
        <f>IFERROR(_xlfn.BINOM.INV(MAX(0,(z!C23-pca!C24+o!C23)),MAX(0,MIN(1,VLOOKUP(3,h_nat_tbl,2,FALSE))),RAND()),0)</f>
        <v/>
      </c>
      <c r="E24">
        <f>IFERROR(_xlfn.BINOM.INV(MAX(0,(z!D23-pca!D24+o!D23)),MAX(0,MIN(1,VLOOKUP(4,h_nat_tbl,2,FALSE))),RAND()),0)</f>
        <v/>
      </c>
      <c r="F24">
        <f>IFERROR(_xlfn.BINOM.INV(MAX(0,(z!E23-pca!E24+o!E23)),MAX(0,MIN(1,VLOOKUP(5,h_nat_tbl,2,FALSE))),RAND()),0)</f>
        <v/>
      </c>
      <c r="G24">
        <f>IFERROR(_xlfn.BINOM.INV(MAX(0,(z!F23-pca!F24+o!F23)),MAX(0,MIN(1,VLOOKUP(6,h_nat_tbl,2,FALSE))),RAND()),0)</f>
        <v/>
      </c>
      <c r="H24">
        <f>IFERROR(_xlfn.BINOM.INV(MAX(0,(z!G23-pca!G24+o!G23)),MAX(0,MIN(1,VLOOKUP(7,h_nat_tbl,2,FALSE))),RAND()),0)</f>
        <v/>
      </c>
      <c r="I24">
        <f>IFERROR(_xlfn.BINOM.INV(MAX(0,(z!H23-pca!H24+o!H23)),MAX(0,MIN(1,VLOOKUP(8,h_nat_tbl,2,FALSE))),RAND()),0)</f>
        <v/>
      </c>
      <c r="J24">
        <f>IFERROR(_xlfn.BINOM.INV(MAX(0,(z!I23-pca!I24+o!I23)),MAX(0,MIN(1,VLOOKUP(9,h_nat_tbl,2,FALSE))),RAND()),0)</f>
        <v/>
      </c>
      <c r="K24">
        <f>IFERROR(_xlfn.BINOM.INV(MAX(0,(z!J23-pca!J24+o!J23)),MAX(0,MIN(1,VLOOKUP(10,h_nat_tbl,2,FALSE))),RAND()),0)</f>
        <v/>
      </c>
    </row>
    <row r="25">
      <c r="A25" t="n">
        <v>23</v>
      </c>
      <c r="B25">
        <f>IFERROR(_xlfn.BINOM.INV(MAX(0,(SUM(urodz!C25:K25)-SUM(urodz_ch!C25:K25))),MAX(0,MIN(1,VLOOKUP(1,h_nat_tbl,2,FALSE))),RAND()),0)</f>
        <v/>
      </c>
      <c r="C25">
        <f>IFERROR(_xlfn.BINOM.INV(MAX(0,(z!B24-pca!B25+o!B24)),MAX(0,MIN(1,VLOOKUP(2,h_nat_tbl,2,FALSE))),RAND()),0)</f>
        <v/>
      </c>
      <c r="D25">
        <f>IFERROR(_xlfn.BINOM.INV(MAX(0,(z!C24-pca!C25+o!C24)),MAX(0,MIN(1,VLOOKUP(3,h_nat_tbl,2,FALSE))),RAND()),0)</f>
        <v/>
      </c>
      <c r="E25">
        <f>IFERROR(_xlfn.BINOM.INV(MAX(0,(z!D24-pca!D25+o!D24)),MAX(0,MIN(1,VLOOKUP(4,h_nat_tbl,2,FALSE))),RAND()),0)</f>
        <v/>
      </c>
      <c r="F25">
        <f>IFERROR(_xlfn.BINOM.INV(MAX(0,(z!E24-pca!E25+o!E24)),MAX(0,MIN(1,VLOOKUP(5,h_nat_tbl,2,FALSE))),RAND()),0)</f>
        <v/>
      </c>
      <c r="G25">
        <f>IFERROR(_xlfn.BINOM.INV(MAX(0,(z!F24-pca!F25+o!F24)),MAX(0,MIN(1,VLOOKUP(6,h_nat_tbl,2,FALSE))),RAND()),0)</f>
        <v/>
      </c>
      <c r="H25">
        <f>IFERROR(_xlfn.BINOM.INV(MAX(0,(z!G24-pca!G25+o!G24)),MAX(0,MIN(1,VLOOKUP(7,h_nat_tbl,2,FALSE))),RAND()),0)</f>
        <v/>
      </c>
      <c r="I25">
        <f>IFERROR(_xlfn.BINOM.INV(MAX(0,(z!H24-pca!H25+o!H24)),MAX(0,MIN(1,VLOOKUP(8,h_nat_tbl,2,FALSE))),RAND()),0)</f>
        <v/>
      </c>
      <c r="J25">
        <f>IFERROR(_xlfn.BINOM.INV(MAX(0,(z!I24-pca!I25+o!I24)),MAX(0,MIN(1,VLOOKUP(9,h_nat_tbl,2,FALSE))),RAND()),0)</f>
        <v/>
      </c>
      <c r="K25">
        <f>IFERROR(_xlfn.BINOM.INV(MAX(0,(z!J24-pca!J25+o!J24)),MAX(0,MIN(1,VLOOKUP(10,h_nat_tbl,2,FALSE))),RAND()),0)</f>
        <v/>
      </c>
    </row>
    <row r="26">
      <c r="A26" t="n">
        <v>24</v>
      </c>
      <c r="B26">
        <f>IFERROR(_xlfn.BINOM.INV(MAX(0,(SUM(urodz!C26:K26)-SUM(urodz_ch!C26:K26))),MAX(0,MIN(1,VLOOKUP(1,h_nat_tbl,2,FALSE))),RAND()),0)</f>
        <v/>
      </c>
      <c r="C26">
        <f>IFERROR(_xlfn.BINOM.INV(MAX(0,(z!B25-pca!B26+o!B25)),MAX(0,MIN(1,VLOOKUP(2,h_nat_tbl,2,FALSE))),RAND()),0)</f>
        <v/>
      </c>
      <c r="D26">
        <f>IFERROR(_xlfn.BINOM.INV(MAX(0,(z!C25-pca!C26+o!C25)),MAX(0,MIN(1,VLOOKUP(3,h_nat_tbl,2,FALSE))),RAND()),0)</f>
        <v/>
      </c>
      <c r="E26">
        <f>IFERROR(_xlfn.BINOM.INV(MAX(0,(z!D25-pca!D26+o!D25)),MAX(0,MIN(1,VLOOKUP(4,h_nat_tbl,2,FALSE))),RAND()),0)</f>
        <v/>
      </c>
      <c r="F26">
        <f>IFERROR(_xlfn.BINOM.INV(MAX(0,(z!E25-pca!E26+o!E25)),MAX(0,MIN(1,VLOOKUP(5,h_nat_tbl,2,FALSE))),RAND()),0)</f>
        <v/>
      </c>
      <c r="G26">
        <f>IFERROR(_xlfn.BINOM.INV(MAX(0,(z!F25-pca!F26+o!F25)),MAX(0,MIN(1,VLOOKUP(6,h_nat_tbl,2,FALSE))),RAND()),0)</f>
        <v/>
      </c>
      <c r="H26">
        <f>IFERROR(_xlfn.BINOM.INV(MAX(0,(z!G25-pca!G26+o!G25)),MAX(0,MIN(1,VLOOKUP(7,h_nat_tbl,2,FALSE))),RAND()),0)</f>
        <v/>
      </c>
      <c r="I26">
        <f>IFERROR(_xlfn.BINOM.INV(MAX(0,(z!H25-pca!H26+o!H25)),MAX(0,MIN(1,VLOOKUP(8,h_nat_tbl,2,FALSE))),RAND()),0)</f>
        <v/>
      </c>
      <c r="J26">
        <f>IFERROR(_xlfn.BINOM.INV(MAX(0,(z!I25-pca!I26+o!I25)),MAX(0,MIN(1,VLOOKUP(9,h_nat_tbl,2,FALSE))),RAND()),0)</f>
        <v/>
      </c>
      <c r="K26">
        <f>IFERROR(_xlfn.BINOM.INV(MAX(0,(z!J25-pca!J26+o!J25)),MAX(0,MIN(1,VLOOKUP(10,h_nat_tbl,2,FALSE))),RAND()),0)</f>
        <v/>
      </c>
    </row>
    <row r="27">
      <c r="A27" t="n">
        <v>25</v>
      </c>
      <c r="B27">
        <f>IFERROR(_xlfn.BINOM.INV(MAX(0,(SUM(urodz!C27:K27)-SUM(urodz_ch!C27:K27))),MAX(0,MIN(1,VLOOKUP(1,h_nat_tbl,2,FALSE))),RAND()),0)</f>
        <v/>
      </c>
      <c r="C27">
        <f>IFERROR(_xlfn.BINOM.INV(MAX(0,(z!B26-pca!B27+o!B26)),MAX(0,MIN(1,VLOOKUP(2,h_nat_tbl,2,FALSE))),RAND()),0)</f>
        <v/>
      </c>
      <c r="D27">
        <f>IFERROR(_xlfn.BINOM.INV(MAX(0,(z!C26-pca!C27+o!C26)),MAX(0,MIN(1,VLOOKUP(3,h_nat_tbl,2,FALSE))),RAND()),0)</f>
        <v/>
      </c>
      <c r="E27">
        <f>IFERROR(_xlfn.BINOM.INV(MAX(0,(z!D26-pca!D27+o!D26)),MAX(0,MIN(1,VLOOKUP(4,h_nat_tbl,2,FALSE))),RAND()),0)</f>
        <v/>
      </c>
      <c r="F27">
        <f>IFERROR(_xlfn.BINOM.INV(MAX(0,(z!E26-pca!E27+o!E26)),MAX(0,MIN(1,VLOOKUP(5,h_nat_tbl,2,FALSE))),RAND()),0)</f>
        <v/>
      </c>
      <c r="G27">
        <f>IFERROR(_xlfn.BINOM.INV(MAX(0,(z!F26-pca!F27+o!F26)),MAX(0,MIN(1,VLOOKUP(6,h_nat_tbl,2,FALSE))),RAND()),0)</f>
        <v/>
      </c>
      <c r="H27">
        <f>IFERROR(_xlfn.BINOM.INV(MAX(0,(z!G26-pca!G27+o!G26)),MAX(0,MIN(1,VLOOKUP(7,h_nat_tbl,2,FALSE))),RAND()),0)</f>
        <v/>
      </c>
      <c r="I27">
        <f>IFERROR(_xlfn.BINOM.INV(MAX(0,(z!H26-pca!H27+o!H26)),MAX(0,MIN(1,VLOOKUP(8,h_nat_tbl,2,FALSE))),RAND()),0)</f>
        <v/>
      </c>
      <c r="J27">
        <f>IFERROR(_xlfn.BINOM.INV(MAX(0,(z!I26-pca!I27+o!I26)),MAX(0,MIN(1,VLOOKUP(9,h_nat_tbl,2,FALSE))),RAND()),0)</f>
        <v/>
      </c>
      <c r="K27">
        <f>IFERROR(_xlfn.BINOM.INV(MAX(0,(z!J26-pca!J27+o!J26)),MAX(0,MIN(1,VLOOKUP(10,h_nat_tbl,2,FALSE))),RAND()),0)</f>
        <v/>
      </c>
    </row>
    <row r="28">
      <c r="A28" t="n">
        <v>26</v>
      </c>
      <c r="B28">
        <f>IFERROR(_xlfn.BINOM.INV(MAX(0,(SUM(urodz!C28:K28)-SUM(urodz_ch!C28:K28))),MAX(0,MIN(1,VLOOKUP(1,h_nat_tbl,2,FALSE))),RAND()),0)</f>
        <v/>
      </c>
      <c r="C28">
        <f>IFERROR(_xlfn.BINOM.INV(MAX(0,(z!B27-pca!B28+o!B27)),MAX(0,MIN(1,VLOOKUP(2,h_nat_tbl,2,FALSE))),RAND()),0)</f>
        <v/>
      </c>
      <c r="D28">
        <f>IFERROR(_xlfn.BINOM.INV(MAX(0,(z!C27-pca!C28+o!C27)),MAX(0,MIN(1,VLOOKUP(3,h_nat_tbl,2,FALSE))),RAND()),0)</f>
        <v/>
      </c>
      <c r="E28">
        <f>IFERROR(_xlfn.BINOM.INV(MAX(0,(z!D27-pca!D28+o!D27)),MAX(0,MIN(1,VLOOKUP(4,h_nat_tbl,2,FALSE))),RAND()),0)</f>
        <v/>
      </c>
      <c r="F28">
        <f>IFERROR(_xlfn.BINOM.INV(MAX(0,(z!E27-pca!E28+o!E27)),MAX(0,MIN(1,VLOOKUP(5,h_nat_tbl,2,FALSE))),RAND()),0)</f>
        <v/>
      </c>
      <c r="G28">
        <f>IFERROR(_xlfn.BINOM.INV(MAX(0,(z!F27-pca!F28+o!F27)),MAX(0,MIN(1,VLOOKUP(6,h_nat_tbl,2,FALSE))),RAND()),0)</f>
        <v/>
      </c>
      <c r="H28">
        <f>IFERROR(_xlfn.BINOM.INV(MAX(0,(z!G27-pca!G28+o!G27)),MAX(0,MIN(1,VLOOKUP(7,h_nat_tbl,2,FALSE))),RAND()),0)</f>
        <v/>
      </c>
      <c r="I28">
        <f>IFERROR(_xlfn.BINOM.INV(MAX(0,(z!H27-pca!H28+o!H27)),MAX(0,MIN(1,VLOOKUP(8,h_nat_tbl,2,FALSE))),RAND()),0)</f>
        <v/>
      </c>
      <c r="J28">
        <f>IFERROR(_xlfn.BINOM.INV(MAX(0,(z!I27-pca!I28+o!I27)),MAX(0,MIN(1,VLOOKUP(9,h_nat_tbl,2,FALSE))),RAND()),0)</f>
        <v/>
      </c>
      <c r="K28">
        <f>IFERROR(_xlfn.BINOM.INV(MAX(0,(z!J27-pca!J28+o!J27)),MAX(0,MIN(1,VLOOKUP(10,h_nat_tbl,2,FALSE))),RAND()),0)</f>
        <v/>
      </c>
    </row>
    <row r="29">
      <c r="A29" t="n">
        <v>27</v>
      </c>
      <c r="B29">
        <f>IFERROR(_xlfn.BINOM.INV(MAX(0,(SUM(urodz!C29:K29)-SUM(urodz_ch!C29:K29))),MAX(0,MIN(1,VLOOKUP(1,h_nat_tbl,2,FALSE))),RAND()),0)</f>
        <v/>
      </c>
      <c r="C29">
        <f>IFERROR(_xlfn.BINOM.INV(MAX(0,(z!B28-pca!B29+o!B28)),MAX(0,MIN(1,VLOOKUP(2,h_nat_tbl,2,FALSE))),RAND()),0)</f>
        <v/>
      </c>
      <c r="D29">
        <f>IFERROR(_xlfn.BINOM.INV(MAX(0,(z!C28-pca!C29+o!C28)),MAX(0,MIN(1,VLOOKUP(3,h_nat_tbl,2,FALSE))),RAND()),0)</f>
        <v/>
      </c>
      <c r="E29">
        <f>IFERROR(_xlfn.BINOM.INV(MAX(0,(z!D28-pca!D29+o!D28)),MAX(0,MIN(1,VLOOKUP(4,h_nat_tbl,2,FALSE))),RAND()),0)</f>
        <v/>
      </c>
      <c r="F29">
        <f>IFERROR(_xlfn.BINOM.INV(MAX(0,(z!E28-pca!E29+o!E28)),MAX(0,MIN(1,VLOOKUP(5,h_nat_tbl,2,FALSE))),RAND()),0)</f>
        <v/>
      </c>
      <c r="G29">
        <f>IFERROR(_xlfn.BINOM.INV(MAX(0,(z!F28-pca!F29+o!F28)),MAX(0,MIN(1,VLOOKUP(6,h_nat_tbl,2,FALSE))),RAND()),0)</f>
        <v/>
      </c>
      <c r="H29">
        <f>IFERROR(_xlfn.BINOM.INV(MAX(0,(z!G28-pca!G29+o!G28)),MAX(0,MIN(1,VLOOKUP(7,h_nat_tbl,2,FALSE))),RAND()),0)</f>
        <v/>
      </c>
      <c r="I29">
        <f>IFERROR(_xlfn.BINOM.INV(MAX(0,(z!H28-pca!H29+o!H28)),MAX(0,MIN(1,VLOOKUP(8,h_nat_tbl,2,FALSE))),RAND()),0)</f>
        <v/>
      </c>
      <c r="J29">
        <f>IFERROR(_xlfn.BINOM.INV(MAX(0,(z!I28-pca!I29+o!I28)),MAX(0,MIN(1,VLOOKUP(9,h_nat_tbl,2,FALSE))),RAND()),0)</f>
        <v/>
      </c>
      <c r="K29">
        <f>IFERROR(_xlfn.BINOM.INV(MAX(0,(z!J28-pca!J29+o!J28)),MAX(0,MIN(1,VLOOKUP(10,h_nat_tbl,2,FALSE))),RAND()),0)</f>
        <v/>
      </c>
    </row>
    <row r="30">
      <c r="A30" t="n">
        <v>28</v>
      </c>
      <c r="B30">
        <f>IFERROR(_xlfn.BINOM.INV(MAX(0,(SUM(urodz!C30:K30)-SUM(urodz_ch!C30:K30))),MAX(0,MIN(1,VLOOKUP(1,h_nat_tbl,2,FALSE))),RAND()),0)</f>
        <v/>
      </c>
      <c r="C30">
        <f>IFERROR(_xlfn.BINOM.INV(MAX(0,(z!B29-pca!B30+o!B29)),MAX(0,MIN(1,VLOOKUP(2,h_nat_tbl,2,FALSE))),RAND()),0)</f>
        <v/>
      </c>
      <c r="D30">
        <f>IFERROR(_xlfn.BINOM.INV(MAX(0,(z!C29-pca!C30+o!C29)),MAX(0,MIN(1,VLOOKUP(3,h_nat_tbl,2,FALSE))),RAND()),0)</f>
        <v/>
      </c>
      <c r="E30">
        <f>IFERROR(_xlfn.BINOM.INV(MAX(0,(z!D29-pca!D30+o!D29)),MAX(0,MIN(1,VLOOKUP(4,h_nat_tbl,2,FALSE))),RAND()),0)</f>
        <v/>
      </c>
      <c r="F30">
        <f>IFERROR(_xlfn.BINOM.INV(MAX(0,(z!E29-pca!E30+o!E29)),MAX(0,MIN(1,VLOOKUP(5,h_nat_tbl,2,FALSE))),RAND()),0)</f>
        <v/>
      </c>
      <c r="G30">
        <f>IFERROR(_xlfn.BINOM.INV(MAX(0,(z!F29-pca!F30+o!F29)),MAX(0,MIN(1,VLOOKUP(6,h_nat_tbl,2,FALSE))),RAND()),0)</f>
        <v/>
      </c>
      <c r="H30">
        <f>IFERROR(_xlfn.BINOM.INV(MAX(0,(z!G29-pca!G30+o!G29)),MAX(0,MIN(1,VLOOKUP(7,h_nat_tbl,2,FALSE))),RAND()),0)</f>
        <v/>
      </c>
      <c r="I30">
        <f>IFERROR(_xlfn.BINOM.INV(MAX(0,(z!H29-pca!H30+o!H29)),MAX(0,MIN(1,VLOOKUP(8,h_nat_tbl,2,FALSE))),RAND()),0)</f>
        <v/>
      </c>
      <c r="J30">
        <f>IFERROR(_xlfn.BINOM.INV(MAX(0,(z!I29-pca!I30+o!I29)),MAX(0,MIN(1,VLOOKUP(9,h_nat_tbl,2,FALSE))),RAND()),0)</f>
        <v/>
      </c>
      <c r="K30">
        <f>IFERROR(_xlfn.BINOM.INV(MAX(0,(z!J29-pca!J30+o!J29)),MAX(0,MIN(1,VLOOKUP(10,h_nat_tbl,2,FALSE))),RAND()),0)</f>
        <v/>
      </c>
    </row>
    <row r="31">
      <c r="A31" t="n">
        <v>29</v>
      </c>
      <c r="B31">
        <f>IFERROR(_xlfn.BINOM.INV(MAX(0,(SUM(urodz!C31:K31)-SUM(urodz_ch!C31:K31))),MAX(0,MIN(1,VLOOKUP(1,h_nat_tbl,2,FALSE))),RAND()),0)</f>
        <v/>
      </c>
      <c r="C31">
        <f>IFERROR(_xlfn.BINOM.INV(MAX(0,(z!B30-pca!B31+o!B30)),MAX(0,MIN(1,VLOOKUP(2,h_nat_tbl,2,FALSE))),RAND()),0)</f>
        <v/>
      </c>
      <c r="D31">
        <f>IFERROR(_xlfn.BINOM.INV(MAX(0,(z!C30-pca!C31+o!C30)),MAX(0,MIN(1,VLOOKUP(3,h_nat_tbl,2,FALSE))),RAND()),0)</f>
        <v/>
      </c>
      <c r="E31">
        <f>IFERROR(_xlfn.BINOM.INV(MAX(0,(z!D30-pca!D31+o!D30)),MAX(0,MIN(1,VLOOKUP(4,h_nat_tbl,2,FALSE))),RAND()),0)</f>
        <v/>
      </c>
      <c r="F31">
        <f>IFERROR(_xlfn.BINOM.INV(MAX(0,(z!E30-pca!E31+o!E30)),MAX(0,MIN(1,VLOOKUP(5,h_nat_tbl,2,FALSE))),RAND()),0)</f>
        <v/>
      </c>
      <c r="G31">
        <f>IFERROR(_xlfn.BINOM.INV(MAX(0,(z!F30-pca!F31+o!F30)),MAX(0,MIN(1,VLOOKUP(6,h_nat_tbl,2,FALSE))),RAND()),0)</f>
        <v/>
      </c>
      <c r="H31">
        <f>IFERROR(_xlfn.BINOM.INV(MAX(0,(z!G30-pca!G31+o!G30)),MAX(0,MIN(1,VLOOKUP(7,h_nat_tbl,2,FALSE))),RAND()),0)</f>
        <v/>
      </c>
      <c r="I31">
        <f>IFERROR(_xlfn.BINOM.INV(MAX(0,(z!H30-pca!H31+o!H30)),MAX(0,MIN(1,VLOOKUP(8,h_nat_tbl,2,FALSE))),RAND()),0)</f>
        <v/>
      </c>
      <c r="J31">
        <f>IFERROR(_xlfn.BINOM.INV(MAX(0,(z!I30-pca!I31+o!I30)),MAX(0,MIN(1,VLOOKUP(9,h_nat_tbl,2,FALSE))),RAND()),0)</f>
        <v/>
      </c>
      <c r="K31">
        <f>IFERROR(_xlfn.BINOM.INV(MAX(0,(z!J30-pca!J31+o!J30)),MAX(0,MIN(1,VLOOKUP(10,h_nat_tbl,2,FALSE))),RAND()),0)</f>
        <v/>
      </c>
    </row>
    <row r="32">
      <c r="A32" t="n">
        <v>30</v>
      </c>
      <c r="B32">
        <f>IFERROR(_xlfn.BINOM.INV(MAX(0,(SUM(urodz!C32:K32)-SUM(urodz_ch!C32:K32))),MAX(0,MIN(1,VLOOKUP(1,h_nat_tbl,2,FALSE))),RAND()),0)</f>
        <v/>
      </c>
      <c r="C32">
        <f>IFERROR(_xlfn.BINOM.INV(MAX(0,(z!B31-pca!B32+o!B31)),MAX(0,MIN(1,VLOOKUP(2,h_nat_tbl,2,FALSE))),RAND()),0)</f>
        <v/>
      </c>
      <c r="D32">
        <f>IFERROR(_xlfn.BINOM.INV(MAX(0,(z!C31-pca!C32+o!C31)),MAX(0,MIN(1,VLOOKUP(3,h_nat_tbl,2,FALSE))),RAND()),0)</f>
        <v/>
      </c>
      <c r="E32">
        <f>IFERROR(_xlfn.BINOM.INV(MAX(0,(z!D31-pca!D32+o!D31)),MAX(0,MIN(1,VLOOKUP(4,h_nat_tbl,2,FALSE))),RAND()),0)</f>
        <v/>
      </c>
      <c r="F32">
        <f>IFERROR(_xlfn.BINOM.INV(MAX(0,(z!E31-pca!E32+o!E31)),MAX(0,MIN(1,VLOOKUP(5,h_nat_tbl,2,FALSE))),RAND()),0)</f>
        <v/>
      </c>
      <c r="G32">
        <f>IFERROR(_xlfn.BINOM.INV(MAX(0,(z!F31-pca!F32+o!F31)),MAX(0,MIN(1,VLOOKUP(6,h_nat_tbl,2,FALSE))),RAND()),0)</f>
        <v/>
      </c>
      <c r="H32">
        <f>IFERROR(_xlfn.BINOM.INV(MAX(0,(z!G31-pca!G32+o!G31)),MAX(0,MIN(1,VLOOKUP(7,h_nat_tbl,2,FALSE))),RAND()),0)</f>
        <v/>
      </c>
      <c r="I32">
        <f>IFERROR(_xlfn.BINOM.INV(MAX(0,(z!H31-pca!H32+o!H31)),MAX(0,MIN(1,VLOOKUP(8,h_nat_tbl,2,FALSE))),RAND()),0)</f>
        <v/>
      </c>
      <c r="J32">
        <f>IFERROR(_xlfn.BINOM.INV(MAX(0,(z!I31-pca!I32+o!I31)),MAX(0,MIN(1,VLOOKUP(9,h_nat_tbl,2,FALSE))),RAND()),0)</f>
        <v/>
      </c>
      <c r="K32">
        <f>IFERROR(_xlfn.BINOM.INV(MAX(0,(z!J31-pca!J32+o!J31)),MAX(0,MIN(1,VLOOKUP(10,h_nat_tbl,2,FALSE))),RAND()),0)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t \ a</t>
        </is>
      </c>
      <c r="B1" s="1" t="inlineStr">
        <is>
          <t>a=1</t>
        </is>
      </c>
      <c r="C1" s="1" t="inlineStr">
        <is>
          <t>a=2</t>
        </is>
      </c>
      <c r="D1" s="1" t="inlineStr">
        <is>
          <t>a=3</t>
        </is>
      </c>
      <c r="E1" s="1" t="inlineStr">
        <is>
          <t>a=4</t>
        </is>
      </c>
      <c r="F1" s="1" t="inlineStr">
        <is>
          <t>a=5</t>
        </is>
      </c>
      <c r="G1" s="1" t="inlineStr">
        <is>
          <t>a=6</t>
        </is>
      </c>
      <c r="H1" s="1" t="inlineStr">
        <is>
          <t>a=7</t>
        </is>
      </c>
      <c r="I1" s="1" t="inlineStr">
        <is>
          <t>a=8</t>
        </is>
      </c>
      <c r="J1" s="1" t="inlineStr">
        <is>
          <t>a=9</t>
        </is>
      </c>
      <c r="K1" s="1" t="inlineStr">
        <is>
          <t>a=10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>
        <f>IFERROR(_xlfn.BINOM.INV(MAX(0,0),MAX(0,MIN(1,VLOOKUP(1,h_nat_tbl,2,FALSE))),RAND()),0)</f>
        <v/>
      </c>
      <c r="C3">
        <f>IFERROR(_xlfn.BINOM.INV(MAX(0,(cb!B2-pu!B3)),MAX(0,MIN(1,VLOOKUP(2,h_nat_tbl,2,FALSE))),RAND()),0)</f>
        <v/>
      </c>
      <c r="D3">
        <f>IFERROR(_xlfn.BINOM.INV(MAX(0,(cb!C2-pu!C3)),MAX(0,MIN(1,VLOOKUP(3,h_nat_tbl,2,FALSE))),RAND()),0)</f>
        <v/>
      </c>
      <c r="E3">
        <f>IFERROR(_xlfn.BINOM.INV(MAX(0,(cb!D2-pu!D3)),MAX(0,MIN(1,VLOOKUP(4,h_nat_tbl,2,FALSE))),RAND()),0)</f>
        <v/>
      </c>
      <c r="F3">
        <f>IFERROR(_xlfn.BINOM.INV(MAX(0,(cb!E2-pu!E3)),MAX(0,MIN(1,VLOOKUP(5,h_nat_tbl,2,FALSE))),RAND()),0)</f>
        <v/>
      </c>
      <c r="G3">
        <f>IFERROR(_xlfn.BINOM.INV(MAX(0,(cb!F2-pu!F3)),MAX(0,MIN(1,VLOOKUP(6,h_nat_tbl,2,FALSE))),RAND()),0)</f>
        <v/>
      </c>
      <c r="H3">
        <f>IFERROR(_xlfn.BINOM.INV(MAX(0,(cb!G2-pu!G3)),MAX(0,MIN(1,VLOOKUP(7,h_nat_tbl,2,FALSE))),RAND()),0)</f>
        <v/>
      </c>
      <c r="I3">
        <f>IFERROR(_xlfn.BINOM.INV(MAX(0,(cb!H2-pu!H3)),MAX(0,MIN(1,VLOOKUP(8,h_nat_tbl,2,FALSE))),RAND()),0)</f>
        <v/>
      </c>
      <c r="J3">
        <f>IFERROR(_xlfn.BINOM.INV(MAX(0,(cb!I2-pu!I3)),MAX(0,MIN(1,VLOOKUP(9,h_nat_tbl,2,FALSE))),RAND()),0)</f>
        <v/>
      </c>
      <c r="K3">
        <f>IFERROR(_xlfn.BINOM.INV(MAX(0,(cb!J2-pu!J3)),MAX(0,MIN(1,VLOOKUP(10,h_nat_tbl,2,FALSE))),RAND()),0)</f>
        <v/>
      </c>
    </row>
    <row r="4">
      <c r="A4" t="n">
        <v>2</v>
      </c>
      <c r="B4">
        <f>IFERROR(_xlfn.BINOM.INV(MAX(0,0),MAX(0,MIN(1,VLOOKUP(1,h_nat_tbl,2,FALSE))),RAND()),0)</f>
        <v/>
      </c>
      <c r="C4">
        <f>IFERROR(_xlfn.BINOM.INV(MAX(0,(cb!B3-pu!B4)),MAX(0,MIN(1,VLOOKUP(2,h_nat_tbl,2,FALSE))),RAND()),0)</f>
        <v/>
      </c>
      <c r="D4">
        <f>IFERROR(_xlfn.BINOM.INV(MAX(0,(cb!C3-pu!C4)),MAX(0,MIN(1,VLOOKUP(3,h_nat_tbl,2,FALSE))),RAND()),0)</f>
        <v/>
      </c>
      <c r="E4">
        <f>IFERROR(_xlfn.BINOM.INV(MAX(0,(cb!D3-pu!D4)),MAX(0,MIN(1,VLOOKUP(4,h_nat_tbl,2,FALSE))),RAND()),0)</f>
        <v/>
      </c>
      <c r="F4">
        <f>IFERROR(_xlfn.BINOM.INV(MAX(0,(cb!E3-pu!E4)),MAX(0,MIN(1,VLOOKUP(5,h_nat_tbl,2,FALSE))),RAND()),0)</f>
        <v/>
      </c>
      <c r="G4">
        <f>IFERROR(_xlfn.BINOM.INV(MAX(0,(cb!F3-pu!F4)),MAX(0,MIN(1,VLOOKUP(6,h_nat_tbl,2,FALSE))),RAND()),0)</f>
        <v/>
      </c>
      <c r="H4">
        <f>IFERROR(_xlfn.BINOM.INV(MAX(0,(cb!G3-pu!G4)),MAX(0,MIN(1,VLOOKUP(7,h_nat_tbl,2,FALSE))),RAND()),0)</f>
        <v/>
      </c>
      <c r="I4">
        <f>IFERROR(_xlfn.BINOM.INV(MAX(0,(cb!H3-pu!H4)),MAX(0,MIN(1,VLOOKUP(8,h_nat_tbl,2,FALSE))),RAND()),0)</f>
        <v/>
      </c>
      <c r="J4">
        <f>IFERROR(_xlfn.BINOM.INV(MAX(0,(cb!I3-pu!I4)),MAX(0,MIN(1,VLOOKUP(9,h_nat_tbl,2,FALSE))),RAND()),0)</f>
        <v/>
      </c>
      <c r="K4">
        <f>IFERROR(_xlfn.BINOM.INV(MAX(0,(cb!J3-pu!J4)),MAX(0,MIN(1,VLOOKUP(10,h_nat_tbl,2,FALSE))),RAND()),0)</f>
        <v/>
      </c>
    </row>
    <row r="5">
      <c r="A5" t="n">
        <v>3</v>
      </c>
      <c r="B5">
        <f>IFERROR(_xlfn.BINOM.INV(MAX(0,0),MAX(0,MIN(1,VLOOKUP(1,h_nat_tbl,2,FALSE))),RAND()),0)</f>
        <v/>
      </c>
      <c r="C5">
        <f>IFERROR(_xlfn.BINOM.INV(MAX(0,(cb!B4-pu!B5)),MAX(0,MIN(1,VLOOKUP(2,h_nat_tbl,2,FALSE))),RAND()),0)</f>
        <v/>
      </c>
      <c r="D5">
        <f>IFERROR(_xlfn.BINOM.INV(MAX(0,(cb!C4-pu!C5)),MAX(0,MIN(1,VLOOKUP(3,h_nat_tbl,2,FALSE))),RAND()),0)</f>
        <v/>
      </c>
      <c r="E5">
        <f>IFERROR(_xlfn.BINOM.INV(MAX(0,(cb!D4-pu!D5)),MAX(0,MIN(1,VLOOKUP(4,h_nat_tbl,2,FALSE))),RAND()),0)</f>
        <v/>
      </c>
      <c r="F5">
        <f>IFERROR(_xlfn.BINOM.INV(MAX(0,(cb!E4-pu!E5)),MAX(0,MIN(1,VLOOKUP(5,h_nat_tbl,2,FALSE))),RAND()),0)</f>
        <v/>
      </c>
      <c r="G5">
        <f>IFERROR(_xlfn.BINOM.INV(MAX(0,(cb!F4-pu!F5)),MAX(0,MIN(1,VLOOKUP(6,h_nat_tbl,2,FALSE))),RAND()),0)</f>
        <v/>
      </c>
      <c r="H5">
        <f>IFERROR(_xlfn.BINOM.INV(MAX(0,(cb!G4-pu!G5)),MAX(0,MIN(1,VLOOKUP(7,h_nat_tbl,2,FALSE))),RAND()),0)</f>
        <v/>
      </c>
      <c r="I5">
        <f>IFERROR(_xlfn.BINOM.INV(MAX(0,(cb!H4-pu!H5)),MAX(0,MIN(1,VLOOKUP(8,h_nat_tbl,2,FALSE))),RAND()),0)</f>
        <v/>
      </c>
      <c r="J5">
        <f>IFERROR(_xlfn.BINOM.INV(MAX(0,(cb!I4-pu!I5)),MAX(0,MIN(1,VLOOKUP(9,h_nat_tbl,2,FALSE))),RAND()),0)</f>
        <v/>
      </c>
      <c r="K5">
        <f>IFERROR(_xlfn.BINOM.INV(MAX(0,(cb!J4-pu!J5)),MAX(0,MIN(1,VLOOKUP(10,h_nat_tbl,2,FALSE))),RAND()),0)</f>
        <v/>
      </c>
    </row>
    <row r="6">
      <c r="A6" t="n">
        <v>4</v>
      </c>
      <c r="B6">
        <f>IFERROR(_xlfn.BINOM.INV(MAX(0,0),MAX(0,MIN(1,VLOOKUP(1,h_nat_tbl,2,FALSE))),RAND()),0)</f>
        <v/>
      </c>
      <c r="C6">
        <f>IFERROR(_xlfn.BINOM.INV(MAX(0,(cb!B5-pu!B6)),MAX(0,MIN(1,VLOOKUP(2,h_nat_tbl,2,FALSE))),RAND()),0)</f>
        <v/>
      </c>
      <c r="D6">
        <f>IFERROR(_xlfn.BINOM.INV(MAX(0,(cb!C5-pu!C6)),MAX(0,MIN(1,VLOOKUP(3,h_nat_tbl,2,FALSE))),RAND()),0)</f>
        <v/>
      </c>
      <c r="E6">
        <f>IFERROR(_xlfn.BINOM.INV(MAX(0,(cb!D5-pu!D6)),MAX(0,MIN(1,VLOOKUP(4,h_nat_tbl,2,FALSE))),RAND()),0)</f>
        <v/>
      </c>
      <c r="F6">
        <f>IFERROR(_xlfn.BINOM.INV(MAX(0,(cb!E5-pu!E6)),MAX(0,MIN(1,VLOOKUP(5,h_nat_tbl,2,FALSE))),RAND()),0)</f>
        <v/>
      </c>
      <c r="G6">
        <f>IFERROR(_xlfn.BINOM.INV(MAX(0,(cb!F5-pu!F6)),MAX(0,MIN(1,VLOOKUP(6,h_nat_tbl,2,FALSE))),RAND()),0)</f>
        <v/>
      </c>
      <c r="H6">
        <f>IFERROR(_xlfn.BINOM.INV(MAX(0,(cb!G5-pu!G6)),MAX(0,MIN(1,VLOOKUP(7,h_nat_tbl,2,FALSE))),RAND()),0)</f>
        <v/>
      </c>
      <c r="I6">
        <f>IFERROR(_xlfn.BINOM.INV(MAX(0,(cb!H5-pu!H6)),MAX(0,MIN(1,VLOOKUP(8,h_nat_tbl,2,FALSE))),RAND()),0)</f>
        <v/>
      </c>
      <c r="J6">
        <f>IFERROR(_xlfn.BINOM.INV(MAX(0,(cb!I5-pu!I6)),MAX(0,MIN(1,VLOOKUP(9,h_nat_tbl,2,FALSE))),RAND()),0)</f>
        <v/>
      </c>
      <c r="K6">
        <f>IFERROR(_xlfn.BINOM.INV(MAX(0,(cb!J5-pu!J6)),MAX(0,MIN(1,VLOOKUP(10,h_nat_tbl,2,FALSE))),RAND()),0)</f>
        <v/>
      </c>
    </row>
    <row r="7">
      <c r="A7" t="n">
        <v>5</v>
      </c>
      <c r="B7">
        <f>IFERROR(_xlfn.BINOM.INV(MAX(0,0),MAX(0,MIN(1,VLOOKUP(1,h_nat_tbl,2,FALSE))),RAND()),0)</f>
        <v/>
      </c>
      <c r="C7">
        <f>IFERROR(_xlfn.BINOM.INV(MAX(0,(cb!B6-pu!B7)),MAX(0,MIN(1,VLOOKUP(2,h_nat_tbl,2,FALSE))),RAND()),0)</f>
        <v/>
      </c>
      <c r="D7">
        <f>IFERROR(_xlfn.BINOM.INV(MAX(0,(cb!C6-pu!C7)),MAX(0,MIN(1,VLOOKUP(3,h_nat_tbl,2,FALSE))),RAND()),0)</f>
        <v/>
      </c>
      <c r="E7">
        <f>IFERROR(_xlfn.BINOM.INV(MAX(0,(cb!D6-pu!D7)),MAX(0,MIN(1,VLOOKUP(4,h_nat_tbl,2,FALSE))),RAND()),0)</f>
        <v/>
      </c>
      <c r="F7">
        <f>IFERROR(_xlfn.BINOM.INV(MAX(0,(cb!E6-pu!E7)),MAX(0,MIN(1,VLOOKUP(5,h_nat_tbl,2,FALSE))),RAND()),0)</f>
        <v/>
      </c>
      <c r="G7">
        <f>IFERROR(_xlfn.BINOM.INV(MAX(0,(cb!F6-pu!F7)),MAX(0,MIN(1,VLOOKUP(6,h_nat_tbl,2,FALSE))),RAND()),0)</f>
        <v/>
      </c>
      <c r="H7">
        <f>IFERROR(_xlfn.BINOM.INV(MAX(0,(cb!G6-pu!G7)),MAX(0,MIN(1,VLOOKUP(7,h_nat_tbl,2,FALSE))),RAND()),0)</f>
        <v/>
      </c>
      <c r="I7">
        <f>IFERROR(_xlfn.BINOM.INV(MAX(0,(cb!H6-pu!H7)),MAX(0,MIN(1,VLOOKUP(8,h_nat_tbl,2,FALSE))),RAND()),0)</f>
        <v/>
      </c>
      <c r="J7">
        <f>IFERROR(_xlfn.BINOM.INV(MAX(0,(cb!I6-pu!I7)),MAX(0,MIN(1,VLOOKUP(9,h_nat_tbl,2,FALSE))),RAND()),0)</f>
        <v/>
      </c>
      <c r="K7">
        <f>IFERROR(_xlfn.BINOM.INV(MAX(0,(cb!J6-pu!J7)),MAX(0,MIN(1,VLOOKUP(10,h_nat_tbl,2,FALSE))),RAND()),0)</f>
        <v/>
      </c>
    </row>
    <row r="8">
      <c r="A8" t="n">
        <v>6</v>
      </c>
      <c r="B8">
        <f>IFERROR(_xlfn.BINOM.INV(MAX(0,0),MAX(0,MIN(1,VLOOKUP(1,h_nat_tbl,2,FALSE))),RAND()),0)</f>
        <v/>
      </c>
      <c r="C8">
        <f>IFERROR(_xlfn.BINOM.INV(MAX(0,(cb!B7-pu!B8)),MAX(0,MIN(1,VLOOKUP(2,h_nat_tbl,2,FALSE))),RAND()),0)</f>
        <v/>
      </c>
      <c r="D8">
        <f>IFERROR(_xlfn.BINOM.INV(MAX(0,(cb!C7-pu!C8)),MAX(0,MIN(1,VLOOKUP(3,h_nat_tbl,2,FALSE))),RAND()),0)</f>
        <v/>
      </c>
      <c r="E8">
        <f>IFERROR(_xlfn.BINOM.INV(MAX(0,(cb!D7-pu!D8)),MAX(0,MIN(1,VLOOKUP(4,h_nat_tbl,2,FALSE))),RAND()),0)</f>
        <v/>
      </c>
      <c r="F8">
        <f>IFERROR(_xlfn.BINOM.INV(MAX(0,(cb!E7-pu!E8)),MAX(0,MIN(1,VLOOKUP(5,h_nat_tbl,2,FALSE))),RAND()),0)</f>
        <v/>
      </c>
      <c r="G8">
        <f>IFERROR(_xlfn.BINOM.INV(MAX(0,(cb!F7-pu!F8)),MAX(0,MIN(1,VLOOKUP(6,h_nat_tbl,2,FALSE))),RAND()),0)</f>
        <v/>
      </c>
      <c r="H8">
        <f>IFERROR(_xlfn.BINOM.INV(MAX(0,(cb!G7-pu!G8)),MAX(0,MIN(1,VLOOKUP(7,h_nat_tbl,2,FALSE))),RAND()),0)</f>
        <v/>
      </c>
      <c r="I8">
        <f>IFERROR(_xlfn.BINOM.INV(MAX(0,(cb!H7-pu!H8)),MAX(0,MIN(1,VLOOKUP(8,h_nat_tbl,2,FALSE))),RAND()),0)</f>
        <v/>
      </c>
      <c r="J8">
        <f>IFERROR(_xlfn.BINOM.INV(MAX(0,(cb!I7-pu!I8)),MAX(0,MIN(1,VLOOKUP(9,h_nat_tbl,2,FALSE))),RAND()),0)</f>
        <v/>
      </c>
      <c r="K8">
        <f>IFERROR(_xlfn.BINOM.INV(MAX(0,(cb!J7-pu!J8)),MAX(0,MIN(1,VLOOKUP(10,h_nat_tbl,2,FALSE))),RAND()),0)</f>
        <v/>
      </c>
    </row>
    <row r="9">
      <c r="A9" t="n">
        <v>7</v>
      </c>
      <c r="B9">
        <f>IFERROR(_xlfn.BINOM.INV(MAX(0,0),MAX(0,MIN(1,VLOOKUP(1,h_nat_tbl,2,FALSE))),RAND()),0)</f>
        <v/>
      </c>
      <c r="C9">
        <f>IFERROR(_xlfn.BINOM.INV(MAX(0,(cb!B8-pu!B9)),MAX(0,MIN(1,VLOOKUP(2,h_nat_tbl,2,FALSE))),RAND()),0)</f>
        <v/>
      </c>
      <c r="D9">
        <f>IFERROR(_xlfn.BINOM.INV(MAX(0,(cb!C8-pu!C9)),MAX(0,MIN(1,VLOOKUP(3,h_nat_tbl,2,FALSE))),RAND()),0)</f>
        <v/>
      </c>
      <c r="E9">
        <f>IFERROR(_xlfn.BINOM.INV(MAX(0,(cb!D8-pu!D9)),MAX(0,MIN(1,VLOOKUP(4,h_nat_tbl,2,FALSE))),RAND()),0)</f>
        <v/>
      </c>
      <c r="F9">
        <f>IFERROR(_xlfn.BINOM.INV(MAX(0,(cb!E8-pu!E9)),MAX(0,MIN(1,VLOOKUP(5,h_nat_tbl,2,FALSE))),RAND()),0)</f>
        <v/>
      </c>
      <c r="G9">
        <f>IFERROR(_xlfn.BINOM.INV(MAX(0,(cb!F8-pu!F9)),MAX(0,MIN(1,VLOOKUP(6,h_nat_tbl,2,FALSE))),RAND()),0)</f>
        <v/>
      </c>
      <c r="H9">
        <f>IFERROR(_xlfn.BINOM.INV(MAX(0,(cb!G8-pu!G9)),MAX(0,MIN(1,VLOOKUP(7,h_nat_tbl,2,FALSE))),RAND()),0)</f>
        <v/>
      </c>
      <c r="I9">
        <f>IFERROR(_xlfn.BINOM.INV(MAX(0,(cb!H8-pu!H9)),MAX(0,MIN(1,VLOOKUP(8,h_nat_tbl,2,FALSE))),RAND()),0)</f>
        <v/>
      </c>
      <c r="J9">
        <f>IFERROR(_xlfn.BINOM.INV(MAX(0,(cb!I8-pu!I9)),MAX(0,MIN(1,VLOOKUP(9,h_nat_tbl,2,FALSE))),RAND()),0)</f>
        <v/>
      </c>
      <c r="K9">
        <f>IFERROR(_xlfn.BINOM.INV(MAX(0,(cb!J8-pu!J9)),MAX(0,MIN(1,VLOOKUP(10,h_nat_tbl,2,FALSE))),RAND()),0)</f>
        <v/>
      </c>
    </row>
    <row r="10">
      <c r="A10" t="n">
        <v>8</v>
      </c>
      <c r="B10">
        <f>IFERROR(_xlfn.BINOM.INV(MAX(0,0),MAX(0,MIN(1,VLOOKUP(1,h_nat_tbl,2,FALSE))),RAND()),0)</f>
        <v/>
      </c>
      <c r="C10">
        <f>IFERROR(_xlfn.BINOM.INV(MAX(0,(cb!B9-pu!B10)),MAX(0,MIN(1,VLOOKUP(2,h_nat_tbl,2,FALSE))),RAND()),0)</f>
        <v/>
      </c>
      <c r="D10">
        <f>IFERROR(_xlfn.BINOM.INV(MAX(0,(cb!C9-pu!C10)),MAX(0,MIN(1,VLOOKUP(3,h_nat_tbl,2,FALSE))),RAND()),0)</f>
        <v/>
      </c>
      <c r="E10">
        <f>IFERROR(_xlfn.BINOM.INV(MAX(0,(cb!D9-pu!D10)),MAX(0,MIN(1,VLOOKUP(4,h_nat_tbl,2,FALSE))),RAND()),0)</f>
        <v/>
      </c>
      <c r="F10">
        <f>IFERROR(_xlfn.BINOM.INV(MAX(0,(cb!E9-pu!E10)),MAX(0,MIN(1,VLOOKUP(5,h_nat_tbl,2,FALSE))),RAND()),0)</f>
        <v/>
      </c>
      <c r="G10">
        <f>IFERROR(_xlfn.BINOM.INV(MAX(0,(cb!F9-pu!F10)),MAX(0,MIN(1,VLOOKUP(6,h_nat_tbl,2,FALSE))),RAND()),0)</f>
        <v/>
      </c>
      <c r="H10">
        <f>IFERROR(_xlfn.BINOM.INV(MAX(0,(cb!G9-pu!G10)),MAX(0,MIN(1,VLOOKUP(7,h_nat_tbl,2,FALSE))),RAND()),0)</f>
        <v/>
      </c>
      <c r="I10">
        <f>IFERROR(_xlfn.BINOM.INV(MAX(0,(cb!H9-pu!H10)),MAX(0,MIN(1,VLOOKUP(8,h_nat_tbl,2,FALSE))),RAND()),0)</f>
        <v/>
      </c>
      <c r="J10">
        <f>IFERROR(_xlfn.BINOM.INV(MAX(0,(cb!I9-pu!I10)),MAX(0,MIN(1,VLOOKUP(9,h_nat_tbl,2,FALSE))),RAND()),0)</f>
        <v/>
      </c>
      <c r="K10">
        <f>IFERROR(_xlfn.BINOM.INV(MAX(0,(cb!J9-pu!J10)),MAX(0,MIN(1,VLOOKUP(10,h_nat_tbl,2,FALSE))),RAND()),0)</f>
        <v/>
      </c>
    </row>
    <row r="11">
      <c r="A11" t="n">
        <v>9</v>
      </c>
      <c r="B11">
        <f>IFERROR(_xlfn.BINOM.INV(MAX(0,0),MAX(0,MIN(1,VLOOKUP(1,h_nat_tbl,2,FALSE))),RAND()),0)</f>
        <v/>
      </c>
      <c r="C11">
        <f>IFERROR(_xlfn.BINOM.INV(MAX(0,(cb!B10-pu!B11)),MAX(0,MIN(1,VLOOKUP(2,h_nat_tbl,2,FALSE))),RAND()),0)</f>
        <v/>
      </c>
      <c r="D11">
        <f>IFERROR(_xlfn.BINOM.INV(MAX(0,(cb!C10-pu!C11)),MAX(0,MIN(1,VLOOKUP(3,h_nat_tbl,2,FALSE))),RAND()),0)</f>
        <v/>
      </c>
      <c r="E11">
        <f>IFERROR(_xlfn.BINOM.INV(MAX(0,(cb!D10-pu!D11)),MAX(0,MIN(1,VLOOKUP(4,h_nat_tbl,2,FALSE))),RAND()),0)</f>
        <v/>
      </c>
      <c r="F11">
        <f>IFERROR(_xlfn.BINOM.INV(MAX(0,(cb!E10-pu!E11)),MAX(0,MIN(1,VLOOKUP(5,h_nat_tbl,2,FALSE))),RAND()),0)</f>
        <v/>
      </c>
      <c r="G11">
        <f>IFERROR(_xlfn.BINOM.INV(MAX(0,(cb!F10-pu!F11)),MAX(0,MIN(1,VLOOKUP(6,h_nat_tbl,2,FALSE))),RAND()),0)</f>
        <v/>
      </c>
      <c r="H11">
        <f>IFERROR(_xlfn.BINOM.INV(MAX(0,(cb!G10-pu!G11)),MAX(0,MIN(1,VLOOKUP(7,h_nat_tbl,2,FALSE))),RAND()),0)</f>
        <v/>
      </c>
      <c r="I11">
        <f>IFERROR(_xlfn.BINOM.INV(MAX(0,(cb!H10-pu!H11)),MAX(0,MIN(1,VLOOKUP(8,h_nat_tbl,2,FALSE))),RAND()),0)</f>
        <v/>
      </c>
      <c r="J11">
        <f>IFERROR(_xlfn.BINOM.INV(MAX(0,(cb!I10-pu!I11)),MAX(0,MIN(1,VLOOKUP(9,h_nat_tbl,2,FALSE))),RAND()),0)</f>
        <v/>
      </c>
      <c r="K11">
        <f>IFERROR(_xlfn.BINOM.INV(MAX(0,(cb!J10-pu!J11)),MAX(0,MIN(1,VLOOKUP(10,h_nat_tbl,2,FALSE))),RAND()),0)</f>
        <v/>
      </c>
    </row>
    <row r="12">
      <c r="A12" t="n">
        <v>10</v>
      </c>
      <c r="B12">
        <f>IFERROR(_xlfn.BINOM.INV(MAX(0,0),MAX(0,MIN(1,VLOOKUP(1,h_nat_tbl,2,FALSE))),RAND()),0)</f>
        <v/>
      </c>
      <c r="C12">
        <f>IFERROR(_xlfn.BINOM.INV(MAX(0,(cb!B11-pu!B12)),MAX(0,MIN(1,VLOOKUP(2,h_nat_tbl,2,FALSE))),RAND()),0)</f>
        <v/>
      </c>
      <c r="D12">
        <f>IFERROR(_xlfn.BINOM.INV(MAX(0,(cb!C11-pu!C12)),MAX(0,MIN(1,VLOOKUP(3,h_nat_tbl,2,FALSE))),RAND()),0)</f>
        <v/>
      </c>
      <c r="E12">
        <f>IFERROR(_xlfn.BINOM.INV(MAX(0,(cb!D11-pu!D12)),MAX(0,MIN(1,VLOOKUP(4,h_nat_tbl,2,FALSE))),RAND()),0)</f>
        <v/>
      </c>
      <c r="F12">
        <f>IFERROR(_xlfn.BINOM.INV(MAX(0,(cb!E11-pu!E12)),MAX(0,MIN(1,VLOOKUP(5,h_nat_tbl,2,FALSE))),RAND()),0)</f>
        <v/>
      </c>
      <c r="G12">
        <f>IFERROR(_xlfn.BINOM.INV(MAX(0,(cb!F11-pu!F12)),MAX(0,MIN(1,VLOOKUP(6,h_nat_tbl,2,FALSE))),RAND()),0)</f>
        <v/>
      </c>
      <c r="H12">
        <f>IFERROR(_xlfn.BINOM.INV(MAX(0,(cb!G11-pu!G12)),MAX(0,MIN(1,VLOOKUP(7,h_nat_tbl,2,FALSE))),RAND()),0)</f>
        <v/>
      </c>
      <c r="I12">
        <f>IFERROR(_xlfn.BINOM.INV(MAX(0,(cb!H11-pu!H12)),MAX(0,MIN(1,VLOOKUP(8,h_nat_tbl,2,FALSE))),RAND()),0)</f>
        <v/>
      </c>
      <c r="J12">
        <f>IFERROR(_xlfn.BINOM.INV(MAX(0,(cb!I11-pu!I12)),MAX(0,MIN(1,VLOOKUP(9,h_nat_tbl,2,FALSE))),RAND()),0)</f>
        <v/>
      </c>
      <c r="K12">
        <f>IFERROR(_xlfn.BINOM.INV(MAX(0,(cb!J11-pu!J12)),MAX(0,MIN(1,VLOOKUP(10,h_nat_tbl,2,FALSE))),RAND()),0)</f>
        <v/>
      </c>
    </row>
    <row r="13">
      <c r="A13" t="n">
        <v>11</v>
      </c>
      <c r="B13">
        <f>IFERROR(_xlfn.BINOM.INV(MAX(0,0),MAX(0,MIN(1,VLOOKUP(1,h_nat_tbl,2,FALSE))),RAND()),0)</f>
        <v/>
      </c>
      <c r="C13">
        <f>IFERROR(_xlfn.BINOM.INV(MAX(0,(cb!B12-pu!B13)),MAX(0,MIN(1,VLOOKUP(2,h_nat_tbl,2,FALSE))),RAND()),0)</f>
        <v/>
      </c>
      <c r="D13">
        <f>IFERROR(_xlfn.BINOM.INV(MAX(0,(cb!C12-pu!C13)),MAX(0,MIN(1,VLOOKUP(3,h_nat_tbl,2,FALSE))),RAND()),0)</f>
        <v/>
      </c>
      <c r="E13">
        <f>IFERROR(_xlfn.BINOM.INV(MAX(0,(cb!D12-pu!D13)),MAX(0,MIN(1,VLOOKUP(4,h_nat_tbl,2,FALSE))),RAND()),0)</f>
        <v/>
      </c>
      <c r="F13">
        <f>IFERROR(_xlfn.BINOM.INV(MAX(0,(cb!E12-pu!E13)),MAX(0,MIN(1,VLOOKUP(5,h_nat_tbl,2,FALSE))),RAND()),0)</f>
        <v/>
      </c>
      <c r="G13">
        <f>IFERROR(_xlfn.BINOM.INV(MAX(0,(cb!F12-pu!F13)),MAX(0,MIN(1,VLOOKUP(6,h_nat_tbl,2,FALSE))),RAND()),0)</f>
        <v/>
      </c>
      <c r="H13">
        <f>IFERROR(_xlfn.BINOM.INV(MAX(0,(cb!G12-pu!G13)),MAX(0,MIN(1,VLOOKUP(7,h_nat_tbl,2,FALSE))),RAND()),0)</f>
        <v/>
      </c>
      <c r="I13">
        <f>IFERROR(_xlfn.BINOM.INV(MAX(0,(cb!H12-pu!H13)),MAX(0,MIN(1,VLOOKUP(8,h_nat_tbl,2,FALSE))),RAND()),0)</f>
        <v/>
      </c>
      <c r="J13">
        <f>IFERROR(_xlfn.BINOM.INV(MAX(0,(cb!I12-pu!I13)),MAX(0,MIN(1,VLOOKUP(9,h_nat_tbl,2,FALSE))),RAND()),0)</f>
        <v/>
      </c>
      <c r="K13">
        <f>IFERROR(_xlfn.BINOM.INV(MAX(0,(cb!J12-pu!J13)),MAX(0,MIN(1,VLOOKUP(10,h_nat_tbl,2,FALSE))),RAND()),0)</f>
        <v/>
      </c>
    </row>
    <row r="14">
      <c r="A14" t="n">
        <v>12</v>
      </c>
      <c r="B14">
        <f>IFERROR(_xlfn.BINOM.INV(MAX(0,0),MAX(0,MIN(1,VLOOKUP(1,h_nat_tbl,2,FALSE))),RAND()),0)</f>
        <v/>
      </c>
      <c r="C14">
        <f>IFERROR(_xlfn.BINOM.INV(MAX(0,(cb!B13-pu!B14)),MAX(0,MIN(1,VLOOKUP(2,h_nat_tbl,2,FALSE))),RAND()),0)</f>
        <v/>
      </c>
      <c r="D14">
        <f>IFERROR(_xlfn.BINOM.INV(MAX(0,(cb!C13-pu!C14)),MAX(0,MIN(1,VLOOKUP(3,h_nat_tbl,2,FALSE))),RAND()),0)</f>
        <v/>
      </c>
      <c r="E14">
        <f>IFERROR(_xlfn.BINOM.INV(MAX(0,(cb!D13-pu!D14)),MAX(0,MIN(1,VLOOKUP(4,h_nat_tbl,2,FALSE))),RAND()),0)</f>
        <v/>
      </c>
      <c r="F14">
        <f>IFERROR(_xlfn.BINOM.INV(MAX(0,(cb!E13-pu!E14)),MAX(0,MIN(1,VLOOKUP(5,h_nat_tbl,2,FALSE))),RAND()),0)</f>
        <v/>
      </c>
      <c r="G14">
        <f>IFERROR(_xlfn.BINOM.INV(MAX(0,(cb!F13-pu!F14)),MAX(0,MIN(1,VLOOKUP(6,h_nat_tbl,2,FALSE))),RAND()),0)</f>
        <v/>
      </c>
      <c r="H14">
        <f>IFERROR(_xlfn.BINOM.INV(MAX(0,(cb!G13-pu!G14)),MAX(0,MIN(1,VLOOKUP(7,h_nat_tbl,2,FALSE))),RAND()),0)</f>
        <v/>
      </c>
      <c r="I14">
        <f>IFERROR(_xlfn.BINOM.INV(MAX(0,(cb!H13-pu!H14)),MAX(0,MIN(1,VLOOKUP(8,h_nat_tbl,2,FALSE))),RAND()),0)</f>
        <v/>
      </c>
      <c r="J14">
        <f>IFERROR(_xlfn.BINOM.INV(MAX(0,(cb!I13-pu!I14)),MAX(0,MIN(1,VLOOKUP(9,h_nat_tbl,2,FALSE))),RAND()),0)</f>
        <v/>
      </c>
      <c r="K14">
        <f>IFERROR(_xlfn.BINOM.INV(MAX(0,(cb!J13-pu!J14)),MAX(0,MIN(1,VLOOKUP(10,h_nat_tbl,2,FALSE))),RAND()),0)</f>
        <v/>
      </c>
    </row>
    <row r="15">
      <c r="A15" t="n">
        <v>13</v>
      </c>
      <c r="B15">
        <f>IFERROR(_xlfn.BINOM.INV(MAX(0,0),MAX(0,MIN(1,VLOOKUP(1,h_nat_tbl,2,FALSE))),RAND()),0)</f>
        <v/>
      </c>
      <c r="C15">
        <f>IFERROR(_xlfn.BINOM.INV(MAX(0,(cb!B14-pu!B15)),MAX(0,MIN(1,VLOOKUP(2,h_nat_tbl,2,FALSE))),RAND()),0)</f>
        <v/>
      </c>
      <c r="D15">
        <f>IFERROR(_xlfn.BINOM.INV(MAX(0,(cb!C14-pu!C15)),MAX(0,MIN(1,VLOOKUP(3,h_nat_tbl,2,FALSE))),RAND()),0)</f>
        <v/>
      </c>
      <c r="E15">
        <f>IFERROR(_xlfn.BINOM.INV(MAX(0,(cb!D14-pu!D15)),MAX(0,MIN(1,VLOOKUP(4,h_nat_tbl,2,FALSE))),RAND()),0)</f>
        <v/>
      </c>
      <c r="F15">
        <f>IFERROR(_xlfn.BINOM.INV(MAX(0,(cb!E14-pu!E15)),MAX(0,MIN(1,VLOOKUP(5,h_nat_tbl,2,FALSE))),RAND()),0)</f>
        <v/>
      </c>
      <c r="G15">
        <f>IFERROR(_xlfn.BINOM.INV(MAX(0,(cb!F14-pu!F15)),MAX(0,MIN(1,VLOOKUP(6,h_nat_tbl,2,FALSE))),RAND()),0)</f>
        <v/>
      </c>
      <c r="H15">
        <f>IFERROR(_xlfn.BINOM.INV(MAX(0,(cb!G14-pu!G15)),MAX(0,MIN(1,VLOOKUP(7,h_nat_tbl,2,FALSE))),RAND()),0)</f>
        <v/>
      </c>
      <c r="I15">
        <f>IFERROR(_xlfn.BINOM.INV(MAX(0,(cb!H14-pu!H15)),MAX(0,MIN(1,VLOOKUP(8,h_nat_tbl,2,FALSE))),RAND()),0)</f>
        <v/>
      </c>
      <c r="J15">
        <f>IFERROR(_xlfn.BINOM.INV(MAX(0,(cb!I14-pu!I15)),MAX(0,MIN(1,VLOOKUP(9,h_nat_tbl,2,FALSE))),RAND()),0)</f>
        <v/>
      </c>
      <c r="K15">
        <f>IFERROR(_xlfn.BINOM.INV(MAX(0,(cb!J14-pu!J15)),MAX(0,MIN(1,VLOOKUP(10,h_nat_tbl,2,FALSE))),RAND()),0)</f>
        <v/>
      </c>
    </row>
    <row r="16">
      <c r="A16" t="n">
        <v>14</v>
      </c>
      <c r="B16">
        <f>IFERROR(_xlfn.BINOM.INV(MAX(0,0),MAX(0,MIN(1,VLOOKUP(1,h_nat_tbl,2,FALSE))),RAND()),0)</f>
        <v/>
      </c>
      <c r="C16">
        <f>IFERROR(_xlfn.BINOM.INV(MAX(0,(cb!B15-pu!B16)),MAX(0,MIN(1,VLOOKUP(2,h_nat_tbl,2,FALSE))),RAND()),0)</f>
        <v/>
      </c>
      <c r="D16">
        <f>IFERROR(_xlfn.BINOM.INV(MAX(0,(cb!C15-pu!C16)),MAX(0,MIN(1,VLOOKUP(3,h_nat_tbl,2,FALSE))),RAND()),0)</f>
        <v/>
      </c>
      <c r="E16">
        <f>IFERROR(_xlfn.BINOM.INV(MAX(0,(cb!D15-pu!D16)),MAX(0,MIN(1,VLOOKUP(4,h_nat_tbl,2,FALSE))),RAND()),0)</f>
        <v/>
      </c>
      <c r="F16">
        <f>IFERROR(_xlfn.BINOM.INV(MAX(0,(cb!E15-pu!E16)),MAX(0,MIN(1,VLOOKUP(5,h_nat_tbl,2,FALSE))),RAND()),0)</f>
        <v/>
      </c>
      <c r="G16">
        <f>IFERROR(_xlfn.BINOM.INV(MAX(0,(cb!F15-pu!F16)),MAX(0,MIN(1,VLOOKUP(6,h_nat_tbl,2,FALSE))),RAND()),0)</f>
        <v/>
      </c>
      <c r="H16">
        <f>IFERROR(_xlfn.BINOM.INV(MAX(0,(cb!G15-pu!G16)),MAX(0,MIN(1,VLOOKUP(7,h_nat_tbl,2,FALSE))),RAND()),0)</f>
        <v/>
      </c>
      <c r="I16">
        <f>IFERROR(_xlfn.BINOM.INV(MAX(0,(cb!H15-pu!H16)),MAX(0,MIN(1,VLOOKUP(8,h_nat_tbl,2,FALSE))),RAND()),0)</f>
        <v/>
      </c>
      <c r="J16">
        <f>IFERROR(_xlfn.BINOM.INV(MAX(0,(cb!I15-pu!I16)),MAX(0,MIN(1,VLOOKUP(9,h_nat_tbl,2,FALSE))),RAND()),0)</f>
        <v/>
      </c>
      <c r="K16">
        <f>IFERROR(_xlfn.BINOM.INV(MAX(0,(cb!J15-pu!J16)),MAX(0,MIN(1,VLOOKUP(10,h_nat_tbl,2,FALSE))),RAND()),0)</f>
        <v/>
      </c>
    </row>
    <row r="17">
      <c r="A17" t="n">
        <v>15</v>
      </c>
      <c r="B17">
        <f>IFERROR(_xlfn.BINOM.INV(MAX(0,0),MAX(0,MIN(1,VLOOKUP(1,h_nat_tbl,2,FALSE))),RAND()),0)</f>
        <v/>
      </c>
      <c r="C17">
        <f>IFERROR(_xlfn.BINOM.INV(MAX(0,(cb!B16-pu!B17)),MAX(0,MIN(1,VLOOKUP(2,h_nat_tbl,2,FALSE))),RAND()),0)</f>
        <v/>
      </c>
      <c r="D17">
        <f>IFERROR(_xlfn.BINOM.INV(MAX(0,(cb!C16-pu!C17)),MAX(0,MIN(1,VLOOKUP(3,h_nat_tbl,2,FALSE))),RAND()),0)</f>
        <v/>
      </c>
      <c r="E17">
        <f>IFERROR(_xlfn.BINOM.INV(MAX(0,(cb!D16-pu!D17)),MAX(0,MIN(1,VLOOKUP(4,h_nat_tbl,2,FALSE))),RAND()),0)</f>
        <v/>
      </c>
      <c r="F17">
        <f>IFERROR(_xlfn.BINOM.INV(MAX(0,(cb!E16-pu!E17)),MAX(0,MIN(1,VLOOKUP(5,h_nat_tbl,2,FALSE))),RAND()),0)</f>
        <v/>
      </c>
      <c r="G17">
        <f>IFERROR(_xlfn.BINOM.INV(MAX(0,(cb!F16-pu!F17)),MAX(0,MIN(1,VLOOKUP(6,h_nat_tbl,2,FALSE))),RAND()),0)</f>
        <v/>
      </c>
      <c r="H17">
        <f>IFERROR(_xlfn.BINOM.INV(MAX(0,(cb!G16-pu!G17)),MAX(0,MIN(1,VLOOKUP(7,h_nat_tbl,2,FALSE))),RAND()),0)</f>
        <v/>
      </c>
      <c r="I17">
        <f>IFERROR(_xlfn.BINOM.INV(MAX(0,(cb!H16-pu!H17)),MAX(0,MIN(1,VLOOKUP(8,h_nat_tbl,2,FALSE))),RAND()),0)</f>
        <v/>
      </c>
      <c r="J17">
        <f>IFERROR(_xlfn.BINOM.INV(MAX(0,(cb!I16-pu!I17)),MAX(0,MIN(1,VLOOKUP(9,h_nat_tbl,2,FALSE))),RAND()),0)</f>
        <v/>
      </c>
      <c r="K17">
        <f>IFERROR(_xlfn.BINOM.INV(MAX(0,(cb!J16-pu!J17)),MAX(0,MIN(1,VLOOKUP(10,h_nat_tbl,2,FALSE))),RAND()),0)</f>
        <v/>
      </c>
    </row>
    <row r="18">
      <c r="A18" t="n">
        <v>16</v>
      </c>
      <c r="B18">
        <f>IFERROR(_xlfn.BINOM.INV(MAX(0,0),MAX(0,MIN(1,VLOOKUP(1,h_nat_tbl,2,FALSE))),RAND()),0)</f>
        <v/>
      </c>
      <c r="C18">
        <f>IFERROR(_xlfn.BINOM.INV(MAX(0,(cb!B17-pu!B18)),MAX(0,MIN(1,VLOOKUP(2,h_nat_tbl,2,FALSE))),RAND()),0)</f>
        <v/>
      </c>
      <c r="D18">
        <f>IFERROR(_xlfn.BINOM.INV(MAX(0,(cb!C17-pu!C18)),MAX(0,MIN(1,VLOOKUP(3,h_nat_tbl,2,FALSE))),RAND()),0)</f>
        <v/>
      </c>
      <c r="E18">
        <f>IFERROR(_xlfn.BINOM.INV(MAX(0,(cb!D17-pu!D18)),MAX(0,MIN(1,VLOOKUP(4,h_nat_tbl,2,FALSE))),RAND()),0)</f>
        <v/>
      </c>
      <c r="F18">
        <f>IFERROR(_xlfn.BINOM.INV(MAX(0,(cb!E17-pu!E18)),MAX(0,MIN(1,VLOOKUP(5,h_nat_tbl,2,FALSE))),RAND()),0)</f>
        <v/>
      </c>
      <c r="G18">
        <f>IFERROR(_xlfn.BINOM.INV(MAX(0,(cb!F17-pu!F18)),MAX(0,MIN(1,VLOOKUP(6,h_nat_tbl,2,FALSE))),RAND()),0)</f>
        <v/>
      </c>
      <c r="H18">
        <f>IFERROR(_xlfn.BINOM.INV(MAX(0,(cb!G17-pu!G18)),MAX(0,MIN(1,VLOOKUP(7,h_nat_tbl,2,FALSE))),RAND()),0)</f>
        <v/>
      </c>
      <c r="I18">
        <f>IFERROR(_xlfn.BINOM.INV(MAX(0,(cb!H17-pu!H18)),MAX(0,MIN(1,VLOOKUP(8,h_nat_tbl,2,FALSE))),RAND()),0)</f>
        <v/>
      </c>
      <c r="J18">
        <f>IFERROR(_xlfn.BINOM.INV(MAX(0,(cb!I17-pu!I18)),MAX(0,MIN(1,VLOOKUP(9,h_nat_tbl,2,FALSE))),RAND()),0)</f>
        <v/>
      </c>
      <c r="K18">
        <f>IFERROR(_xlfn.BINOM.INV(MAX(0,(cb!J17-pu!J18)),MAX(0,MIN(1,VLOOKUP(10,h_nat_tbl,2,FALSE))),RAND()),0)</f>
        <v/>
      </c>
    </row>
    <row r="19">
      <c r="A19" t="n">
        <v>17</v>
      </c>
      <c r="B19">
        <f>IFERROR(_xlfn.BINOM.INV(MAX(0,0),MAX(0,MIN(1,VLOOKUP(1,h_nat_tbl,2,FALSE))),RAND()),0)</f>
        <v/>
      </c>
      <c r="C19">
        <f>IFERROR(_xlfn.BINOM.INV(MAX(0,(cb!B18-pu!B19)),MAX(0,MIN(1,VLOOKUP(2,h_nat_tbl,2,FALSE))),RAND()),0)</f>
        <v/>
      </c>
      <c r="D19">
        <f>IFERROR(_xlfn.BINOM.INV(MAX(0,(cb!C18-pu!C19)),MAX(0,MIN(1,VLOOKUP(3,h_nat_tbl,2,FALSE))),RAND()),0)</f>
        <v/>
      </c>
      <c r="E19">
        <f>IFERROR(_xlfn.BINOM.INV(MAX(0,(cb!D18-pu!D19)),MAX(0,MIN(1,VLOOKUP(4,h_nat_tbl,2,FALSE))),RAND()),0)</f>
        <v/>
      </c>
      <c r="F19">
        <f>IFERROR(_xlfn.BINOM.INV(MAX(0,(cb!E18-pu!E19)),MAX(0,MIN(1,VLOOKUP(5,h_nat_tbl,2,FALSE))),RAND()),0)</f>
        <v/>
      </c>
      <c r="G19">
        <f>IFERROR(_xlfn.BINOM.INV(MAX(0,(cb!F18-pu!F19)),MAX(0,MIN(1,VLOOKUP(6,h_nat_tbl,2,FALSE))),RAND()),0)</f>
        <v/>
      </c>
      <c r="H19">
        <f>IFERROR(_xlfn.BINOM.INV(MAX(0,(cb!G18-pu!G19)),MAX(0,MIN(1,VLOOKUP(7,h_nat_tbl,2,FALSE))),RAND()),0)</f>
        <v/>
      </c>
      <c r="I19">
        <f>IFERROR(_xlfn.BINOM.INV(MAX(0,(cb!H18-pu!H19)),MAX(0,MIN(1,VLOOKUP(8,h_nat_tbl,2,FALSE))),RAND()),0)</f>
        <v/>
      </c>
      <c r="J19">
        <f>IFERROR(_xlfn.BINOM.INV(MAX(0,(cb!I18-pu!I19)),MAX(0,MIN(1,VLOOKUP(9,h_nat_tbl,2,FALSE))),RAND()),0)</f>
        <v/>
      </c>
      <c r="K19">
        <f>IFERROR(_xlfn.BINOM.INV(MAX(0,(cb!J18-pu!J19)),MAX(0,MIN(1,VLOOKUP(10,h_nat_tbl,2,FALSE))),RAND()),0)</f>
        <v/>
      </c>
    </row>
    <row r="20">
      <c r="A20" t="n">
        <v>18</v>
      </c>
      <c r="B20">
        <f>IFERROR(_xlfn.BINOM.INV(MAX(0,0),MAX(0,MIN(1,VLOOKUP(1,h_nat_tbl,2,FALSE))),RAND()),0)</f>
        <v/>
      </c>
      <c r="C20">
        <f>IFERROR(_xlfn.BINOM.INV(MAX(0,(cb!B19-pu!B20)),MAX(0,MIN(1,VLOOKUP(2,h_nat_tbl,2,FALSE))),RAND()),0)</f>
        <v/>
      </c>
      <c r="D20">
        <f>IFERROR(_xlfn.BINOM.INV(MAX(0,(cb!C19-pu!C20)),MAX(0,MIN(1,VLOOKUP(3,h_nat_tbl,2,FALSE))),RAND()),0)</f>
        <v/>
      </c>
      <c r="E20">
        <f>IFERROR(_xlfn.BINOM.INV(MAX(0,(cb!D19-pu!D20)),MAX(0,MIN(1,VLOOKUP(4,h_nat_tbl,2,FALSE))),RAND()),0)</f>
        <v/>
      </c>
      <c r="F20">
        <f>IFERROR(_xlfn.BINOM.INV(MAX(0,(cb!E19-pu!E20)),MAX(0,MIN(1,VLOOKUP(5,h_nat_tbl,2,FALSE))),RAND()),0)</f>
        <v/>
      </c>
      <c r="G20">
        <f>IFERROR(_xlfn.BINOM.INV(MAX(0,(cb!F19-pu!F20)),MAX(0,MIN(1,VLOOKUP(6,h_nat_tbl,2,FALSE))),RAND()),0)</f>
        <v/>
      </c>
      <c r="H20">
        <f>IFERROR(_xlfn.BINOM.INV(MAX(0,(cb!G19-pu!G20)),MAX(0,MIN(1,VLOOKUP(7,h_nat_tbl,2,FALSE))),RAND()),0)</f>
        <v/>
      </c>
      <c r="I20">
        <f>IFERROR(_xlfn.BINOM.INV(MAX(0,(cb!H19-pu!H20)),MAX(0,MIN(1,VLOOKUP(8,h_nat_tbl,2,FALSE))),RAND()),0)</f>
        <v/>
      </c>
      <c r="J20">
        <f>IFERROR(_xlfn.BINOM.INV(MAX(0,(cb!I19-pu!I20)),MAX(0,MIN(1,VLOOKUP(9,h_nat_tbl,2,FALSE))),RAND()),0)</f>
        <v/>
      </c>
      <c r="K20">
        <f>IFERROR(_xlfn.BINOM.INV(MAX(0,(cb!J19-pu!J20)),MAX(0,MIN(1,VLOOKUP(10,h_nat_tbl,2,FALSE))),RAND()),0)</f>
        <v/>
      </c>
    </row>
    <row r="21">
      <c r="A21" t="n">
        <v>19</v>
      </c>
      <c r="B21">
        <f>IFERROR(_xlfn.BINOM.INV(MAX(0,0),MAX(0,MIN(1,VLOOKUP(1,h_nat_tbl,2,FALSE))),RAND()),0)</f>
        <v/>
      </c>
      <c r="C21">
        <f>IFERROR(_xlfn.BINOM.INV(MAX(0,(cb!B20-pu!B21)),MAX(0,MIN(1,VLOOKUP(2,h_nat_tbl,2,FALSE))),RAND()),0)</f>
        <v/>
      </c>
      <c r="D21">
        <f>IFERROR(_xlfn.BINOM.INV(MAX(0,(cb!C20-pu!C21)),MAX(0,MIN(1,VLOOKUP(3,h_nat_tbl,2,FALSE))),RAND()),0)</f>
        <v/>
      </c>
      <c r="E21">
        <f>IFERROR(_xlfn.BINOM.INV(MAX(0,(cb!D20-pu!D21)),MAX(0,MIN(1,VLOOKUP(4,h_nat_tbl,2,FALSE))),RAND()),0)</f>
        <v/>
      </c>
      <c r="F21">
        <f>IFERROR(_xlfn.BINOM.INV(MAX(0,(cb!E20-pu!E21)),MAX(0,MIN(1,VLOOKUP(5,h_nat_tbl,2,FALSE))),RAND()),0)</f>
        <v/>
      </c>
      <c r="G21">
        <f>IFERROR(_xlfn.BINOM.INV(MAX(0,(cb!F20-pu!F21)),MAX(0,MIN(1,VLOOKUP(6,h_nat_tbl,2,FALSE))),RAND()),0)</f>
        <v/>
      </c>
      <c r="H21">
        <f>IFERROR(_xlfn.BINOM.INV(MAX(0,(cb!G20-pu!G21)),MAX(0,MIN(1,VLOOKUP(7,h_nat_tbl,2,FALSE))),RAND()),0)</f>
        <v/>
      </c>
      <c r="I21">
        <f>IFERROR(_xlfn.BINOM.INV(MAX(0,(cb!H20-pu!H21)),MAX(0,MIN(1,VLOOKUP(8,h_nat_tbl,2,FALSE))),RAND()),0)</f>
        <v/>
      </c>
      <c r="J21">
        <f>IFERROR(_xlfn.BINOM.INV(MAX(0,(cb!I20-pu!I21)),MAX(0,MIN(1,VLOOKUP(9,h_nat_tbl,2,FALSE))),RAND()),0)</f>
        <v/>
      </c>
      <c r="K21">
        <f>IFERROR(_xlfn.BINOM.INV(MAX(0,(cb!J20-pu!J21)),MAX(0,MIN(1,VLOOKUP(10,h_nat_tbl,2,FALSE))),RAND()),0)</f>
        <v/>
      </c>
    </row>
    <row r="22">
      <c r="A22" t="n">
        <v>20</v>
      </c>
      <c r="B22">
        <f>IFERROR(_xlfn.BINOM.INV(MAX(0,0),MAX(0,MIN(1,VLOOKUP(1,h_nat_tbl,2,FALSE))),RAND()),0)</f>
        <v/>
      </c>
      <c r="C22">
        <f>IFERROR(_xlfn.BINOM.INV(MAX(0,(cb!B21-pu!B22)),MAX(0,MIN(1,VLOOKUP(2,h_nat_tbl,2,FALSE))),RAND()),0)</f>
        <v/>
      </c>
      <c r="D22">
        <f>IFERROR(_xlfn.BINOM.INV(MAX(0,(cb!C21-pu!C22)),MAX(0,MIN(1,VLOOKUP(3,h_nat_tbl,2,FALSE))),RAND()),0)</f>
        <v/>
      </c>
      <c r="E22">
        <f>IFERROR(_xlfn.BINOM.INV(MAX(0,(cb!D21-pu!D22)),MAX(0,MIN(1,VLOOKUP(4,h_nat_tbl,2,FALSE))),RAND()),0)</f>
        <v/>
      </c>
      <c r="F22">
        <f>IFERROR(_xlfn.BINOM.INV(MAX(0,(cb!E21-pu!E22)),MAX(0,MIN(1,VLOOKUP(5,h_nat_tbl,2,FALSE))),RAND()),0)</f>
        <v/>
      </c>
      <c r="G22">
        <f>IFERROR(_xlfn.BINOM.INV(MAX(0,(cb!F21-pu!F22)),MAX(0,MIN(1,VLOOKUP(6,h_nat_tbl,2,FALSE))),RAND()),0)</f>
        <v/>
      </c>
      <c r="H22">
        <f>IFERROR(_xlfn.BINOM.INV(MAX(0,(cb!G21-pu!G22)),MAX(0,MIN(1,VLOOKUP(7,h_nat_tbl,2,FALSE))),RAND()),0)</f>
        <v/>
      </c>
      <c r="I22">
        <f>IFERROR(_xlfn.BINOM.INV(MAX(0,(cb!H21-pu!H22)),MAX(0,MIN(1,VLOOKUP(8,h_nat_tbl,2,FALSE))),RAND()),0)</f>
        <v/>
      </c>
      <c r="J22">
        <f>IFERROR(_xlfn.BINOM.INV(MAX(0,(cb!I21-pu!I22)),MAX(0,MIN(1,VLOOKUP(9,h_nat_tbl,2,FALSE))),RAND()),0)</f>
        <v/>
      </c>
      <c r="K22">
        <f>IFERROR(_xlfn.BINOM.INV(MAX(0,(cb!J21-pu!J22)),MAX(0,MIN(1,VLOOKUP(10,h_nat_tbl,2,FALSE))),RAND()),0)</f>
        <v/>
      </c>
    </row>
    <row r="23">
      <c r="A23" t="n">
        <v>21</v>
      </c>
      <c r="B23">
        <f>IFERROR(_xlfn.BINOM.INV(MAX(0,0),MAX(0,MIN(1,VLOOKUP(1,h_nat_tbl,2,FALSE))),RAND()),0)</f>
        <v/>
      </c>
      <c r="C23">
        <f>IFERROR(_xlfn.BINOM.INV(MAX(0,(cb!B22-pu!B23)),MAX(0,MIN(1,VLOOKUP(2,h_nat_tbl,2,FALSE))),RAND()),0)</f>
        <v/>
      </c>
      <c r="D23">
        <f>IFERROR(_xlfn.BINOM.INV(MAX(0,(cb!C22-pu!C23)),MAX(0,MIN(1,VLOOKUP(3,h_nat_tbl,2,FALSE))),RAND()),0)</f>
        <v/>
      </c>
      <c r="E23">
        <f>IFERROR(_xlfn.BINOM.INV(MAX(0,(cb!D22-pu!D23)),MAX(0,MIN(1,VLOOKUP(4,h_nat_tbl,2,FALSE))),RAND()),0)</f>
        <v/>
      </c>
      <c r="F23">
        <f>IFERROR(_xlfn.BINOM.INV(MAX(0,(cb!E22-pu!E23)),MAX(0,MIN(1,VLOOKUP(5,h_nat_tbl,2,FALSE))),RAND()),0)</f>
        <v/>
      </c>
      <c r="G23">
        <f>IFERROR(_xlfn.BINOM.INV(MAX(0,(cb!F22-pu!F23)),MAX(0,MIN(1,VLOOKUP(6,h_nat_tbl,2,FALSE))),RAND()),0)</f>
        <v/>
      </c>
      <c r="H23">
        <f>IFERROR(_xlfn.BINOM.INV(MAX(0,(cb!G22-pu!G23)),MAX(0,MIN(1,VLOOKUP(7,h_nat_tbl,2,FALSE))),RAND()),0)</f>
        <v/>
      </c>
      <c r="I23">
        <f>IFERROR(_xlfn.BINOM.INV(MAX(0,(cb!H22-pu!H23)),MAX(0,MIN(1,VLOOKUP(8,h_nat_tbl,2,FALSE))),RAND()),0)</f>
        <v/>
      </c>
      <c r="J23">
        <f>IFERROR(_xlfn.BINOM.INV(MAX(0,(cb!I22-pu!I23)),MAX(0,MIN(1,VLOOKUP(9,h_nat_tbl,2,FALSE))),RAND()),0)</f>
        <v/>
      </c>
      <c r="K23">
        <f>IFERROR(_xlfn.BINOM.INV(MAX(0,(cb!J22-pu!J23)),MAX(0,MIN(1,VLOOKUP(10,h_nat_tbl,2,FALSE))),RAND()),0)</f>
        <v/>
      </c>
    </row>
    <row r="24">
      <c r="A24" t="n">
        <v>22</v>
      </c>
      <c r="B24">
        <f>IFERROR(_xlfn.BINOM.INV(MAX(0,0),MAX(0,MIN(1,VLOOKUP(1,h_nat_tbl,2,FALSE))),RAND()),0)</f>
        <v/>
      </c>
      <c r="C24">
        <f>IFERROR(_xlfn.BINOM.INV(MAX(0,(cb!B23-pu!B24)),MAX(0,MIN(1,VLOOKUP(2,h_nat_tbl,2,FALSE))),RAND()),0)</f>
        <v/>
      </c>
      <c r="D24">
        <f>IFERROR(_xlfn.BINOM.INV(MAX(0,(cb!C23-pu!C24)),MAX(0,MIN(1,VLOOKUP(3,h_nat_tbl,2,FALSE))),RAND()),0)</f>
        <v/>
      </c>
      <c r="E24">
        <f>IFERROR(_xlfn.BINOM.INV(MAX(0,(cb!D23-pu!D24)),MAX(0,MIN(1,VLOOKUP(4,h_nat_tbl,2,FALSE))),RAND()),0)</f>
        <v/>
      </c>
      <c r="F24">
        <f>IFERROR(_xlfn.BINOM.INV(MAX(0,(cb!E23-pu!E24)),MAX(0,MIN(1,VLOOKUP(5,h_nat_tbl,2,FALSE))),RAND()),0)</f>
        <v/>
      </c>
      <c r="G24">
        <f>IFERROR(_xlfn.BINOM.INV(MAX(0,(cb!F23-pu!F24)),MAX(0,MIN(1,VLOOKUP(6,h_nat_tbl,2,FALSE))),RAND()),0)</f>
        <v/>
      </c>
      <c r="H24">
        <f>IFERROR(_xlfn.BINOM.INV(MAX(0,(cb!G23-pu!G24)),MAX(0,MIN(1,VLOOKUP(7,h_nat_tbl,2,FALSE))),RAND()),0)</f>
        <v/>
      </c>
      <c r="I24">
        <f>IFERROR(_xlfn.BINOM.INV(MAX(0,(cb!H23-pu!H24)),MAX(0,MIN(1,VLOOKUP(8,h_nat_tbl,2,FALSE))),RAND()),0)</f>
        <v/>
      </c>
      <c r="J24">
        <f>IFERROR(_xlfn.BINOM.INV(MAX(0,(cb!I23-pu!I24)),MAX(0,MIN(1,VLOOKUP(9,h_nat_tbl,2,FALSE))),RAND()),0)</f>
        <v/>
      </c>
      <c r="K24">
        <f>IFERROR(_xlfn.BINOM.INV(MAX(0,(cb!J23-pu!J24)),MAX(0,MIN(1,VLOOKUP(10,h_nat_tbl,2,FALSE))),RAND()),0)</f>
        <v/>
      </c>
    </row>
    <row r="25">
      <c r="A25" t="n">
        <v>23</v>
      </c>
      <c r="B25">
        <f>IFERROR(_xlfn.BINOM.INV(MAX(0,0),MAX(0,MIN(1,VLOOKUP(1,h_nat_tbl,2,FALSE))),RAND()),0)</f>
        <v/>
      </c>
      <c r="C25">
        <f>IFERROR(_xlfn.BINOM.INV(MAX(0,(cb!B24-pu!B25)),MAX(0,MIN(1,VLOOKUP(2,h_nat_tbl,2,FALSE))),RAND()),0)</f>
        <v/>
      </c>
      <c r="D25">
        <f>IFERROR(_xlfn.BINOM.INV(MAX(0,(cb!C24-pu!C25)),MAX(0,MIN(1,VLOOKUP(3,h_nat_tbl,2,FALSE))),RAND()),0)</f>
        <v/>
      </c>
      <c r="E25">
        <f>IFERROR(_xlfn.BINOM.INV(MAX(0,(cb!D24-pu!D25)),MAX(0,MIN(1,VLOOKUP(4,h_nat_tbl,2,FALSE))),RAND()),0)</f>
        <v/>
      </c>
      <c r="F25">
        <f>IFERROR(_xlfn.BINOM.INV(MAX(0,(cb!E24-pu!E25)),MAX(0,MIN(1,VLOOKUP(5,h_nat_tbl,2,FALSE))),RAND()),0)</f>
        <v/>
      </c>
      <c r="G25">
        <f>IFERROR(_xlfn.BINOM.INV(MAX(0,(cb!F24-pu!F25)),MAX(0,MIN(1,VLOOKUP(6,h_nat_tbl,2,FALSE))),RAND()),0)</f>
        <v/>
      </c>
      <c r="H25">
        <f>IFERROR(_xlfn.BINOM.INV(MAX(0,(cb!G24-pu!G25)),MAX(0,MIN(1,VLOOKUP(7,h_nat_tbl,2,FALSE))),RAND()),0)</f>
        <v/>
      </c>
      <c r="I25">
        <f>IFERROR(_xlfn.BINOM.INV(MAX(0,(cb!H24-pu!H25)),MAX(0,MIN(1,VLOOKUP(8,h_nat_tbl,2,FALSE))),RAND()),0)</f>
        <v/>
      </c>
      <c r="J25">
        <f>IFERROR(_xlfn.BINOM.INV(MAX(0,(cb!I24-pu!I25)),MAX(0,MIN(1,VLOOKUP(9,h_nat_tbl,2,FALSE))),RAND()),0)</f>
        <v/>
      </c>
      <c r="K25">
        <f>IFERROR(_xlfn.BINOM.INV(MAX(0,(cb!J24-pu!J25)),MAX(0,MIN(1,VLOOKUP(10,h_nat_tbl,2,FALSE))),RAND()),0)</f>
        <v/>
      </c>
    </row>
    <row r="26">
      <c r="A26" t="n">
        <v>24</v>
      </c>
      <c r="B26">
        <f>IFERROR(_xlfn.BINOM.INV(MAX(0,0),MAX(0,MIN(1,VLOOKUP(1,h_nat_tbl,2,FALSE))),RAND()),0)</f>
        <v/>
      </c>
      <c r="C26">
        <f>IFERROR(_xlfn.BINOM.INV(MAX(0,(cb!B25-pu!B26)),MAX(0,MIN(1,VLOOKUP(2,h_nat_tbl,2,FALSE))),RAND()),0)</f>
        <v/>
      </c>
      <c r="D26">
        <f>IFERROR(_xlfn.BINOM.INV(MAX(0,(cb!C25-pu!C26)),MAX(0,MIN(1,VLOOKUP(3,h_nat_tbl,2,FALSE))),RAND()),0)</f>
        <v/>
      </c>
      <c r="E26">
        <f>IFERROR(_xlfn.BINOM.INV(MAX(0,(cb!D25-pu!D26)),MAX(0,MIN(1,VLOOKUP(4,h_nat_tbl,2,FALSE))),RAND()),0)</f>
        <v/>
      </c>
      <c r="F26">
        <f>IFERROR(_xlfn.BINOM.INV(MAX(0,(cb!E25-pu!E26)),MAX(0,MIN(1,VLOOKUP(5,h_nat_tbl,2,FALSE))),RAND()),0)</f>
        <v/>
      </c>
      <c r="G26">
        <f>IFERROR(_xlfn.BINOM.INV(MAX(0,(cb!F25-pu!F26)),MAX(0,MIN(1,VLOOKUP(6,h_nat_tbl,2,FALSE))),RAND()),0)</f>
        <v/>
      </c>
      <c r="H26">
        <f>IFERROR(_xlfn.BINOM.INV(MAX(0,(cb!G25-pu!G26)),MAX(0,MIN(1,VLOOKUP(7,h_nat_tbl,2,FALSE))),RAND()),0)</f>
        <v/>
      </c>
      <c r="I26">
        <f>IFERROR(_xlfn.BINOM.INV(MAX(0,(cb!H25-pu!H26)),MAX(0,MIN(1,VLOOKUP(8,h_nat_tbl,2,FALSE))),RAND()),0)</f>
        <v/>
      </c>
      <c r="J26">
        <f>IFERROR(_xlfn.BINOM.INV(MAX(0,(cb!I25-pu!I26)),MAX(0,MIN(1,VLOOKUP(9,h_nat_tbl,2,FALSE))),RAND()),0)</f>
        <v/>
      </c>
      <c r="K26">
        <f>IFERROR(_xlfn.BINOM.INV(MAX(0,(cb!J25-pu!J26)),MAX(0,MIN(1,VLOOKUP(10,h_nat_tbl,2,FALSE))),RAND()),0)</f>
        <v/>
      </c>
    </row>
    <row r="27">
      <c r="A27" t="n">
        <v>25</v>
      </c>
      <c r="B27">
        <f>IFERROR(_xlfn.BINOM.INV(MAX(0,0),MAX(0,MIN(1,VLOOKUP(1,h_nat_tbl,2,FALSE))),RAND()),0)</f>
        <v/>
      </c>
      <c r="C27">
        <f>IFERROR(_xlfn.BINOM.INV(MAX(0,(cb!B26-pu!B27)),MAX(0,MIN(1,VLOOKUP(2,h_nat_tbl,2,FALSE))),RAND()),0)</f>
        <v/>
      </c>
      <c r="D27">
        <f>IFERROR(_xlfn.BINOM.INV(MAX(0,(cb!C26-pu!C27)),MAX(0,MIN(1,VLOOKUP(3,h_nat_tbl,2,FALSE))),RAND()),0)</f>
        <v/>
      </c>
      <c r="E27">
        <f>IFERROR(_xlfn.BINOM.INV(MAX(0,(cb!D26-pu!D27)),MAX(0,MIN(1,VLOOKUP(4,h_nat_tbl,2,FALSE))),RAND()),0)</f>
        <v/>
      </c>
      <c r="F27">
        <f>IFERROR(_xlfn.BINOM.INV(MAX(0,(cb!E26-pu!E27)),MAX(0,MIN(1,VLOOKUP(5,h_nat_tbl,2,FALSE))),RAND()),0)</f>
        <v/>
      </c>
      <c r="G27">
        <f>IFERROR(_xlfn.BINOM.INV(MAX(0,(cb!F26-pu!F27)),MAX(0,MIN(1,VLOOKUP(6,h_nat_tbl,2,FALSE))),RAND()),0)</f>
        <v/>
      </c>
      <c r="H27">
        <f>IFERROR(_xlfn.BINOM.INV(MAX(0,(cb!G26-pu!G27)),MAX(0,MIN(1,VLOOKUP(7,h_nat_tbl,2,FALSE))),RAND()),0)</f>
        <v/>
      </c>
      <c r="I27">
        <f>IFERROR(_xlfn.BINOM.INV(MAX(0,(cb!H26-pu!H27)),MAX(0,MIN(1,VLOOKUP(8,h_nat_tbl,2,FALSE))),RAND()),0)</f>
        <v/>
      </c>
      <c r="J27">
        <f>IFERROR(_xlfn.BINOM.INV(MAX(0,(cb!I26-pu!I27)),MAX(0,MIN(1,VLOOKUP(9,h_nat_tbl,2,FALSE))),RAND()),0)</f>
        <v/>
      </c>
      <c r="K27">
        <f>IFERROR(_xlfn.BINOM.INV(MAX(0,(cb!J26-pu!J27)),MAX(0,MIN(1,VLOOKUP(10,h_nat_tbl,2,FALSE))),RAND()),0)</f>
        <v/>
      </c>
    </row>
    <row r="28">
      <c r="A28" t="n">
        <v>26</v>
      </c>
      <c r="B28">
        <f>IFERROR(_xlfn.BINOM.INV(MAX(0,0),MAX(0,MIN(1,VLOOKUP(1,h_nat_tbl,2,FALSE))),RAND()),0)</f>
        <v/>
      </c>
      <c r="C28">
        <f>IFERROR(_xlfn.BINOM.INV(MAX(0,(cb!B27-pu!B28)),MAX(0,MIN(1,VLOOKUP(2,h_nat_tbl,2,FALSE))),RAND()),0)</f>
        <v/>
      </c>
      <c r="D28">
        <f>IFERROR(_xlfn.BINOM.INV(MAX(0,(cb!C27-pu!C28)),MAX(0,MIN(1,VLOOKUP(3,h_nat_tbl,2,FALSE))),RAND()),0)</f>
        <v/>
      </c>
      <c r="E28">
        <f>IFERROR(_xlfn.BINOM.INV(MAX(0,(cb!D27-pu!D28)),MAX(0,MIN(1,VLOOKUP(4,h_nat_tbl,2,FALSE))),RAND()),0)</f>
        <v/>
      </c>
      <c r="F28">
        <f>IFERROR(_xlfn.BINOM.INV(MAX(0,(cb!E27-pu!E28)),MAX(0,MIN(1,VLOOKUP(5,h_nat_tbl,2,FALSE))),RAND()),0)</f>
        <v/>
      </c>
      <c r="G28">
        <f>IFERROR(_xlfn.BINOM.INV(MAX(0,(cb!F27-pu!F28)),MAX(0,MIN(1,VLOOKUP(6,h_nat_tbl,2,FALSE))),RAND()),0)</f>
        <v/>
      </c>
      <c r="H28">
        <f>IFERROR(_xlfn.BINOM.INV(MAX(0,(cb!G27-pu!G28)),MAX(0,MIN(1,VLOOKUP(7,h_nat_tbl,2,FALSE))),RAND()),0)</f>
        <v/>
      </c>
      <c r="I28">
        <f>IFERROR(_xlfn.BINOM.INV(MAX(0,(cb!H27-pu!H28)),MAX(0,MIN(1,VLOOKUP(8,h_nat_tbl,2,FALSE))),RAND()),0)</f>
        <v/>
      </c>
      <c r="J28">
        <f>IFERROR(_xlfn.BINOM.INV(MAX(0,(cb!I27-pu!I28)),MAX(0,MIN(1,VLOOKUP(9,h_nat_tbl,2,FALSE))),RAND()),0)</f>
        <v/>
      </c>
      <c r="K28">
        <f>IFERROR(_xlfn.BINOM.INV(MAX(0,(cb!J27-pu!J28)),MAX(0,MIN(1,VLOOKUP(10,h_nat_tbl,2,FALSE))),RAND()),0)</f>
        <v/>
      </c>
    </row>
    <row r="29">
      <c r="A29" t="n">
        <v>27</v>
      </c>
      <c r="B29">
        <f>IFERROR(_xlfn.BINOM.INV(MAX(0,0),MAX(0,MIN(1,VLOOKUP(1,h_nat_tbl,2,FALSE))),RAND()),0)</f>
        <v/>
      </c>
      <c r="C29">
        <f>IFERROR(_xlfn.BINOM.INV(MAX(0,(cb!B28-pu!B29)),MAX(0,MIN(1,VLOOKUP(2,h_nat_tbl,2,FALSE))),RAND()),0)</f>
        <v/>
      </c>
      <c r="D29">
        <f>IFERROR(_xlfn.BINOM.INV(MAX(0,(cb!C28-pu!C29)),MAX(0,MIN(1,VLOOKUP(3,h_nat_tbl,2,FALSE))),RAND()),0)</f>
        <v/>
      </c>
      <c r="E29">
        <f>IFERROR(_xlfn.BINOM.INV(MAX(0,(cb!D28-pu!D29)),MAX(0,MIN(1,VLOOKUP(4,h_nat_tbl,2,FALSE))),RAND()),0)</f>
        <v/>
      </c>
      <c r="F29">
        <f>IFERROR(_xlfn.BINOM.INV(MAX(0,(cb!E28-pu!E29)),MAX(0,MIN(1,VLOOKUP(5,h_nat_tbl,2,FALSE))),RAND()),0)</f>
        <v/>
      </c>
      <c r="G29">
        <f>IFERROR(_xlfn.BINOM.INV(MAX(0,(cb!F28-pu!F29)),MAX(0,MIN(1,VLOOKUP(6,h_nat_tbl,2,FALSE))),RAND()),0)</f>
        <v/>
      </c>
      <c r="H29">
        <f>IFERROR(_xlfn.BINOM.INV(MAX(0,(cb!G28-pu!G29)),MAX(0,MIN(1,VLOOKUP(7,h_nat_tbl,2,FALSE))),RAND()),0)</f>
        <v/>
      </c>
      <c r="I29">
        <f>IFERROR(_xlfn.BINOM.INV(MAX(0,(cb!H28-pu!H29)),MAX(0,MIN(1,VLOOKUP(8,h_nat_tbl,2,FALSE))),RAND()),0)</f>
        <v/>
      </c>
      <c r="J29">
        <f>IFERROR(_xlfn.BINOM.INV(MAX(0,(cb!I28-pu!I29)),MAX(0,MIN(1,VLOOKUP(9,h_nat_tbl,2,FALSE))),RAND()),0)</f>
        <v/>
      </c>
      <c r="K29">
        <f>IFERROR(_xlfn.BINOM.INV(MAX(0,(cb!J28-pu!J29)),MAX(0,MIN(1,VLOOKUP(10,h_nat_tbl,2,FALSE))),RAND()),0)</f>
        <v/>
      </c>
    </row>
    <row r="30">
      <c r="A30" t="n">
        <v>28</v>
      </c>
      <c r="B30">
        <f>IFERROR(_xlfn.BINOM.INV(MAX(0,0),MAX(0,MIN(1,VLOOKUP(1,h_nat_tbl,2,FALSE))),RAND()),0)</f>
        <v/>
      </c>
      <c r="C30">
        <f>IFERROR(_xlfn.BINOM.INV(MAX(0,(cb!B29-pu!B30)),MAX(0,MIN(1,VLOOKUP(2,h_nat_tbl,2,FALSE))),RAND()),0)</f>
        <v/>
      </c>
      <c r="D30">
        <f>IFERROR(_xlfn.BINOM.INV(MAX(0,(cb!C29-pu!C30)),MAX(0,MIN(1,VLOOKUP(3,h_nat_tbl,2,FALSE))),RAND()),0)</f>
        <v/>
      </c>
      <c r="E30">
        <f>IFERROR(_xlfn.BINOM.INV(MAX(0,(cb!D29-pu!D30)),MAX(0,MIN(1,VLOOKUP(4,h_nat_tbl,2,FALSE))),RAND()),0)</f>
        <v/>
      </c>
      <c r="F30">
        <f>IFERROR(_xlfn.BINOM.INV(MAX(0,(cb!E29-pu!E30)),MAX(0,MIN(1,VLOOKUP(5,h_nat_tbl,2,FALSE))),RAND()),0)</f>
        <v/>
      </c>
      <c r="G30">
        <f>IFERROR(_xlfn.BINOM.INV(MAX(0,(cb!F29-pu!F30)),MAX(0,MIN(1,VLOOKUP(6,h_nat_tbl,2,FALSE))),RAND()),0)</f>
        <v/>
      </c>
      <c r="H30">
        <f>IFERROR(_xlfn.BINOM.INV(MAX(0,(cb!G29-pu!G30)),MAX(0,MIN(1,VLOOKUP(7,h_nat_tbl,2,FALSE))),RAND()),0)</f>
        <v/>
      </c>
      <c r="I30">
        <f>IFERROR(_xlfn.BINOM.INV(MAX(0,(cb!H29-pu!H30)),MAX(0,MIN(1,VLOOKUP(8,h_nat_tbl,2,FALSE))),RAND()),0)</f>
        <v/>
      </c>
      <c r="J30">
        <f>IFERROR(_xlfn.BINOM.INV(MAX(0,(cb!I29-pu!I30)),MAX(0,MIN(1,VLOOKUP(9,h_nat_tbl,2,FALSE))),RAND()),0)</f>
        <v/>
      </c>
      <c r="K30">
        <f>IFERROR(_xlfn.BINOM.INV(MAX(0,(cb!J29-pu!J30)),MAX(0,MIN(1,VLOOKUP(10,h_nat_tbl,2,FALSE))),RAND()),0)</f>
        <v/>
      </c>
    </row>
    <row r="31">
      <c r="A31" t="n">
        <v>29</v>
      </c>
      <c r="B31">
        <f>IFERROR(_xlfn.BINOM.INV(MAX(0,0),MAX(0,MIN(1,VLOOKUP(1,h_nat_tbl,2,FALSE))),RAND()),0)</f>
        <v/>
      </c>
      <c r="C31">
        <f>IFERROR(_xlfn.BINOM.INV(MAX(0,(cb!B30-pu!B31)),MAX(0,MIN(1,VLOOKUP(2,h_nat_tbl,2,FALSE))),RAND()),0)</f>
        <v/>
      </c>
      <c r="D31">
        <f>IFERROR(_xlfn.BINOM.INV(MAX(0,(cb!C30-pu!C31)),MAX(0,MIN(1,VLOOKUP(3,h_nat_tbl,2,FALSE))),RAND()),0)</f>
        <v/>
      </c>
      <c r="E31">
        <f>IFERROR(_xlfn.BINOM.INV(MAX(0,(cb!D30-pu!D31)),MAX(0,MIN(1,VLOOKUP(4,h_nat_tbl,2,FALSE))),RAND()),0)</f>
        <v/>
      </c>
      <c r="F31">
        <f>IFERROR(_xlfn.BINOM.INV(MAX(0,(cb!E30-pu!E31)),MAX(0,MIN(1,VLOOKUP(5,h_nat_tbl,2,FALSE))),RAND()),0)</f>
        <v/>
      </c>
      <c r="G31">
        <f>IFERROR(_xlfn.BINOM.INV(MAX(0,(cb!F30-pu!F31)),MAX(0,MIN(1,VLOOKUP(6,h_nat_tbl,2,FALSE))),RAND()),0)</f>
        <v/>
      </c>
      <c r="H31">
        <f>IFERROR(_xlfn.BINOM.INV(MAX(0,(cb!G30-pu!G31)),MAX(0,MIN(1,VLOOKUP(7,h_nat_tbl,2,FALSE))),RAND()),0)</f>
        <v/>
      </c>
      <c r="I31">
        <f>IFERROR(_xlfn.BINOM.INV(MAX(0,(cb!H30-pu!H31)),MAX(0,MIN(1,VLOOKUP(8,h_nat_tbl,2,FALSE))),RAND()),0)</f>
        <v/>
      </c>
      <c r="J31">
        <f>IFERROR(_xlfn.BINOM.INV(MAX(0,(cb!I30-pu!I31)),MAX(0,MIN(1,VLOOKUP(9,h_nat_tbl,2,FALSE))),RAND()),0)</f>
        <v/>
      </c>
      <c r="K31">
        <f>IFERROR(_xlfn.BINOM.INV(MAX(0,(cb!J30-pu!J31)),MAX(0,MIN(1,VLOOKUP(10,h_nat_tbl,2,FALSE))),RAND()),0)</f>
        <v/>
      </c>
    </row>
    <row r="32">
      <c r="A32" t="n">
        <v>30</v>
      </c>
      <c r="B32">
        <f>IFERROR(_xlfn.BINOM.INV(MAX(0,0),MAX(0,MIN(1,VLOOKUP(1,h_nat_tbl,2,FALSE))),RAND()),0)</f>
        <v/>
      </c>
      <c r="C32">
        <f>IFERROR(_xlfn.BINOM.INV(MAX(0,(cb!B31-pu!B32)),MAX(0,MIN(1,VLOOKUP(2,h_nat_tbl,2,FALSE))),RAND()),0)</f>
        <v/>
      </c>
      <c r="D32">
        <f>IFERROR(_xlfn.BINOM.INV(MAX(0,(cb!C31-pu!C32)),MAX(0,MIN(1,VLOOKUP(3,h_nat_tbl,2,FALSE))),RAND()),0)</f>
        <v/>
      </c>
      <c r="E32">
        <f>IFERROR(_xlfn.BINOM.INV(MAX(0,(cb!D31-pu!D32)),MAX(0,MIN(1,VLOOKUP(4,h_nat_tbl,2,FALSE))),RAND()),0)</f>
        <v/>
      </c>
      <c r="F32">
        <f>IFERROR(_xlfn.BINOM.INV(MAX(0,(cb!E31-pu!E32)),MAX(0,MIN(1,VLOOKUP(5,h_nat_tbl,2,FALSE))),RAND()),0)</f>
        <v/>
      </c>
      <c r="G32">
        <f>IFERROR(_xlfn.BINOM.INV(MAX(0,(cb!F31-pu!F32)),MAX(0,MIN(1,VLOOKUP(6,h_nat_tbl,2,FALSE))),RAND()),0)</f>
        <v/>
      </c>
      <c r="H32">
        <f>IFERROR(_xlfn.BINOM.INV(MAX(0,(cb!G31-pu!G32)),MAX(0,MIN(1,VLOOKUP(7,h_nat_tbl,2,FALSE))),RAND()),0)</f>
        <v/>
      </c>
      <c r="I32">
        <f>IFERROR(_xlfn.BINOM.INV(MAX(0,(cb!H31-pu!H32)),MAX(0,MIN(1,VLOOKUP(8,h_nat_tbl,2,FALSE))),RAND()),0)</f>
        <v/>
      </c>
      <c r="J32">
        <f>IFERROR(_xlfn.BINOM.INV(MAX(0,(cb!I31-pu!I32)),MAX(0,MIN(1,VLOOKUP(9,h_nat_tbl,2,FALSE))),RAND()),0)</f>
        <v/>
      </c>
      <c r="K32">
        <f>IFERROR(_xlfn.BINOM.INV(MAX(0,(cb!J31-pu!J32)),MAX(0,MIN(1,VLOOKUP(10,h_nat_tbl,2,FALSE))),RAND()),0)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t \ a</t>
        </is>
      </c>
      <c r="B1" s="1" t="inlineStr">
        <is>
          <t>a=1</t>
        </is>
      </c>
      <c r="C1" s="1" t="inlineStr">
        <is>
          <t>a=2</t>
        </is>
      </c>
      <c r="D1" s="1" t="inlineStr">
        <is>
          <t>a=3</t>
        </is>
      </c>
      <c r="E1" s="1" t="inlineStr">
        <is>
          <t>a=4</t>
        </is>
      </c>
      <c r="F1" s="1" t="inlineStr">
        <is>
          <t>a=5</t>
        </is>
      </c>
      <c r="G1" s="1" t="inlineStr">
        <is>
          <t>a=6</t>
        </is>
      </c>
      <c r="H1" s="1" t="inlineStr">
        <is>
          <t>a=7</t>
        </is>
      </c>
      <c r="I1" s="1" t="inlineStr">
        <is>
          <t>a=8</t>
        </is>
      </c>
      <c r="J1" s="1" t="inlineStr">
        <is>
          <t>a=9</t>
        </is>
      </c>
      <c r="K1" s="1" t="inlineStr">
        <is>
          <t>a=10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>
        <f>IFERROR(_xlfn.BINOM.INV(MAX(0,SUM(urodz_ch!C3:K3)),MAX(0,MIN(1,VLOOKUP(1,h_nat_tbl,2,FALSE))),RAND()),0)</f>
        <v/>
      </c>
      <c r="C3">
        <f>IFERROR(_xlfn.BINOM.INV(MAX(0,pca!B3),MAX(0,MIN(1,VLOOKUP(2,h_nat_tbl,2,FALSE))),RAND()),0)</f>
        <v/>
      </c>
      <c r="D3">
        <f>IFERROR(_xlfn.BINOM.INV(MAX(0,pca!C3),MAX(0,MIN(1,VLOOKUP(3,h_nat_tbl,2,FALSE))),RAND()),0)</f>
        <v/>
      </c>
      <c r="E3">
        <f>IFERROR(_xlfn.BINOM.INV(MAX(0,pca!D3),MAX(0,MIN(1,VLOOKUP(4,h_nat_tbl,2,FALSE))),RAND()),0)</f>
        <v/>
      </c>
      <c r="F3">
        <f>IFERROR(_xlfn.BINOM.INV(MAX(0,pca!E3),MAX(0,MIN(1,VLOOKUP(5,h_nat_tbl,2,FALSE))),RAND()),0)</f>
        <v/>
      </c>
      <c r="G3">
        <f>IFERROR(_xlfn.BINOM.INV(MAX(0,pca!F3),MAX(0,MIN(1,VLOOKUP(6,h_nat_tbl,2,FALSE))),RAND()),0)</f>
        <v/>
      </c>
      <c r="H3">
        <f>IFERROR(_xlfn.BINOM.INV(MAX(0,pca!G3),MAX(0,MIN(1,VLOOKUP(7,h_nat_tbl,2,FALSE))),RAND()),0)</f>
        <v/>
      </c>
      <c r="I3">
        <f>IFERROR(_xlfn.BINOM.INV(MAX(0,pca!H3),MAX(0,MIN(1,VLOOKUP(8,h_nat_tbl,2,FALSE))),RAND()),0)</f>
        <v/>
      </c>
      <c r="J3">
        <f>IFERROR(_xlfn.BINOM.INV(MAX(0,pca!I3),MAX(0,MIN(1,VLOOKUP(9,h_nat_tbl,2,FALSE))),RAND()),0)</f>
        <v/>
      </c>
      <c r="K3">
        <f>IFERROR(_xlfn.BINOM.INV(MAX(0,pca!J3),MAX(0,MIN(1,VLOOKUP(10,h_nat_tbl,2,FALSE))),RAND()),0)</f>
        <v/>
      </c>
    </row>
    <row r="4">
      <c r="A4" t="n">
        <v>2</v>
      </c>
      <c r="B4">
        <f>IFERROR(_xlfn.BINOM.INV(MAX(0,SUM(urodz_ch!C4:K4)),MAX(0,MIN(1,VLOOKUP(1,h_nat_tbl,2,FALSE))),RAND()),0)</f>
        <v/>
      </c>
      <c r="C4">
        <f>IFERROR(_xlfn.BINOM.INV(MAX(0,pca!B4),MAX(0,MIN(1,VLOOKUP(2,h_nat_tbl,2,FALSE))),RAND()),0)</f>
        <v/>
      </c>
      <c r="D4">
        <f>IFERROR(_xlfn.BINOM.INV(MAX(0,pca!C4),MAX(0,MIN(1,VLOOKUP(3,h_nat_tbl,2,FALSE))),RAND()),0)</f>
        <v/>
      </c>
      <c r="E4">
        <f>IFERROR(_xlfn.BINOM.INV(MAX(0,pca!D4),MAX(0,MIN(1,VLOOKUP(4,h_nat_tbl,2,FALSE))),RAND()),0)</f>
        <v/>
      </c>
      <c r="F4">
        <f>IFERROR(_xlfn.BINOM.INV(MAX(0,pca!E4),MAX(0,MIN(1,VLOOKUP(5,h_nat_tbl,2,FALSE))),RAND()),0)</f>
        <v/>
      </c>
      <c r="G4">
        <f>IFERROR(_xlfn.BINOM.INV(MAX(0,pca!F4),MAX(0,MIN(1,VLOOKUP(6,h_nat_tbl,2,FALSE))),RAND()),0)</f>
        <v/>
      </c>
      <c r="H4">
        <f>IFERROR(_xlfn.BINOM.INV(MAX(0,pca!G4),MAX(0,MIN(1,VLOOKUP(7,h_nat_tbl,2,FALSE))),RAND()),0)</f>
        <v/>
      </c>
      <c r="I4">
        <f>IFERROR(_xlfn.BINOM.INV(MAX(0,pca!H4),MAX(0,MIN(1,VLOOKUP(8,h_nat_tbl,2,FALSE))),RAND()),0)</f>
        <v/>
      </c>
      <c r="J4">
        <f>IFERROR(_xlfn.BINOM.INV(MAX(0,pca!I4),MAX(0,MIN(1,VLOOKUP(9,h_nat_tbl,2,FALSE))),RAND()),0)</f>
        <v/>
      </c>
      <c r="K4">
        <f>IFERROR(_xlfn.BINOM.INV(MAX(0,pca!J4),MAX(0,MIN(1,VLOOKUP(10,h_nat_tbl,2,FALSE))),RAND()),0)</f>
        <v/>
      </c>
    </row>
    <row r="5">
      <c r="A5" t="n">
        <v>3</v>
      </c>
      <c r="B5">
        <f>IFERROR(_xlfn.BINOM.INV(MAX(0,SUM(urodz_ch!C5:K5)),MAX(0,MIN(1,VLOOKUP(1,h_nat_tbl,2,FALSE))),RAND()),0)</f>
        <v/>
      </c>
      <c r="C5">
        <f>IFERROR(_xlfn.BINOM.INV(MAX(0,pca!B5),MAX(0,MIN(1,VLOOKUP(2,h_nat_tbl,2,FALSE))),RAND()),0)</f>
        <v/>
      </c>
      <c r="D5">
        <f>IFERROR(_xlfn.BINOM.INV(MAX(0,pca!C5),MAX(0,MIN(1,VLOOKUP(3,h_nat_tbl,2,FALSE))),RAND()),0)</f>
        <v/>
      </c>
      <c r="E5">
        <f>IFERROR(_xlfn.BINOM.INV(MAX(0,pca!D5),MAX(0,MIN(1,VLOOKUP(4,h_nat_tbl,2,FALSE))),RAND()),0)</f>
        <v/>
      </c>
      <c r="F5">
        <f>IFERROR(_xlfn.BINOM.INV(MAX(0,pca!E5),MAX(0,MIN(1,VLOOKUP(5,h_nat_tbl,2,FALSE))),RAND()),0)</f>
        <v/>
      </c>
      <c r="G5">
        <f>IFERROR(_xlfn.BINOM.INV(MAX(0,pca!F5),MAX(0,MIN(1,VLOOKUP(6,h_nat_tbl,2,FALSE))),RAND()),0)</f>
        <v/>
      </c>
      <c r="H5">
        <f>IFERROR(_xlfn.BINOM.INV(MAX(0,pca!G5),MAX(0,MIN(1,VLOOKUP(7,h_nat_tbl,2,FALSE))),RAND()),0)</f>
        <v/>
      </c>
      <c r="I5">
        <f>IFERROR(_xlfn.BINOM.INV(MAX(0,pca!H5),MAX(0,MIN(1,VLOOKUP(8,h_nat_tbl,2,FALSE))),RAND()),0)</f>
        <v/>
      </c>
      <c r="J5">
        <f>IFERROR(_xlfn.BINOM.INV(MAX(0,pca!I5),MAX(0,MIN(1,VLOOKUP(9,h_nat_tbl,2,FALSE))),RAND()),0)</f>
        <v/>
      </c>
      <c r="K5">
        <f>IFERROR(_xlfn.BINOM.INV(MAX(0,pca!J5),MAX(0,MIN(1,VLOOKUP(10,h_nat_tbl,2,FALSE))),RAND()),0)</f>
        <v/>
      </c>
    </row>
    <row r="6">
      <c r="A6" t="n">
        <v>4</v>
      </c>
      <c r="B6">
        <f>IFERROR(_xlfn.BINOM.INV(MAX(0,SUM(urodz_ch!C6:K6)),MAX(0,MIN(1,VLOOKUP(1,h_nat_tbl,2,FALSE))),RAND()),0)</f>
        <v/>
      </c>
      <c r="C6">
        <f>IFERROR(_xlfn.BINOM.INV(MAX(0,pca!B6),MAX(0,MIN(1,VLOOKUP(2,h_nat_tbl,2,FALSE))),RAND()),0)</f>
        <v/>
      </c>
      <c r="D6">
        <f>IFERROR(_xlfn.BINOM.INV(MAX(0,pca!C6),MAX(0,MIN(1,VLOOKUP(3,h_nat_tbl,2,FALSE))),RAND()),0)</f>
        <v/>
      </c>
      <c r="E6">
        <f>IFERROR(_xlfn.BINOM.INV(MAX(0,pca!D6),MAX(0,MIN(1,VLOOKUP(4,h_nat_tbl,2,FALSE))),RAND()),0)</f>
        <v/>
      </c>
      <c r="F6">
        <f>IFERROR(_xlfn.BINOM.INV(MAX(0,pca!E6),MAX(0,MIN(1,VLOOKUP(5,h_nat_tbl,2,FALSE))),RAND()),0)</f>
        <v/>
      </c>
      <c r="G6">
        <f>IFERROR(_xlfn.BINOM.INV(MAX(0,pca!F6),MAX(0,MIN(1,VLOOKUP(6,h_nat_tbl,2,FALSE))),RAND()),0)</f>
        <v/>
      </c>
      <c r="H6">
        <f>IFERROR(_xlfn.BINOM.INV(MAX(0,pca!G6),MAX(0,MIN(1,VLOOKUP(7,h_nat_tbl,2,FALSE))),RAND()),0)</f>
        <v/>
      </c>
      <c r="I6">
        <f>IFERROR(_xlfn.BINOM.INV(MAX(0,pca!H6),MAX(0,MIN(1,VLOOKUP(8,h_nat_tbl,2,FALSE))),RAND()),0)</f>
        <v/>
      </c>
      <c r="J6">
        <f>IFERROR(_xlfn.BINOM.INV(MAX(0,pca!I6),MAX(0,MIN(1,VLOOKUP(9,h_nat_tbl,2,FALSE))),RAND()),0)</f>
        <v/>
      </c>
      <c r="K6">
        <f>IFERROR(_xlfn.BINOM.INV(MAX(0,pca!J6),MAX(0,MIN(1,VLOOKUP(10,h_nat_tbl,2,FALSE))),RAND()),0)</f>
        <v/>
      </c>
    </row>
    <row r="7">
      <c r="A7" t="n">
        <v>5</v>
      </c>
      <c r="B7">
        <f>IFERROR(_xlfn.BINOM.INV(MAX(0,SUM(urodz_ch!C7:K7)),MAX(0,MIN(1,VLOOKUP(1,h_nat_tbl,2,FALSE))),RAND()),0)</f>
        <v/>
      </c>
      <c r="C7">
        <f>IFERROR(_xlfn.BINOM.INV(MAX(0,pca!B7),MAX(0,MIN(1,VLOOKUP(2,h_nat_tbl,2,FALSE))),RAND()),0)</f>
        <v/>
      </c>
      <c r="D7">
        <f>IFERROR(_xlfn.BINOM.INV(MAX(0,pca!C7),MAX(0,MIN(1,VLOOKUP(3,h_nat_tbl,2,FALSE))),RAND()),0)</f>
        <v/>
      </c>
      <c r="E7">
        <f>IFERROR(_xlfn.BINOM.INV(MAX(0,pca!D7),MAX(0,MIN(1,VLOOKUP(4,h_nat_tbl,2,FALSE))),RAND()),0)</f>
        <v/>
      </c>
      <c r="F7">
        <f>IFERROR(_xlfn.BINOM.INV(MAX(0,pca!E7),MAX(0,MIN(1,VLOOKUP(5,h_nat_tbl,2,FALSE))),RAND()),0)</f>
        <v/>
      </c>
      <c r="G7">
        <f>IFERROR(_xlfn.BINOM.INV(MAX(0,pca!F7),MAX(0,MIN(1,VLOOKUP(6,h_nat_tbl,2,FALSE))),RAND()),0)</f>
        <v/>
      </c>
      <c r="H7">
        <f>IFERROR(_xlfn.BINOM.INV(MAX(0,pca!G7),MAX(0,MIN(1,VLOOKUP(7,h_nat_tbl,2,FALSE))),RAND()),0)</f>
        <v/>
      </c>
      <c r="I7">
        <f>IFERROR(_xlfn.BINOM.INV(MAX(0,pca!H7),MAX(0,MIN(1,VLOOKUP(8,h_nat_tbl,2,FALSE))),RAND()),0)</f>
        <v/>
      </c>
      <c r="J7">
        <f>IFERROR(_xlfn.BINOM.INV(MAX(0,pca!I7),MAX(0,MIN(1,VLOOKUP(9,h_nat_tbl,2,FALSE))),RAND()),0)</f>
        <v/>
      </c>
      <c r="K7">
        <f>IFERROR(_xlfn.BINOM.INV(MAX(0,pca!J7),MAX(0,MIN(1,VLOOKUP(10,h_nat_tbl,2,FALSE))),RAND()),0)</f>
        <v/>
      </c>
    </row>
    <row r="8">
      <c r="A8" t="n">
        <v>6</v>
      </c>
      <c r="B8">
        <f>IFERROR(_xlfn.BINOM.INV(MAX(0,SUM(urodz_ch!C8:K8)),MAX(0,MIN(1,VLOOKUP(1,h_nat_tbl,2,FALSE))),RAND()),0)</f>
        <v/>
      </c>
      <c r="C8">
        <f>IFERROR(_xlfn.BINOM.INV(MAX(0,pca!B8),MAX(0,MIN(1,VLOOKUP(2,h_nat_tbl,2,FALSE))),RAND()),0)</f>
        <v/>
      </c>
      <c r="D8">
        <f>IFERROR(_xlfn.BINOM.INV(MAX(0,pca!C8),MAX(0,MIN(1,VLOOKUP(3,h_nat_tbl,2,FALSE))),RAND()),0)</f>
        <v/>
      </c>
      <c r="E8">
        <f>IFERROR(_xlfn.BINOM.INV(MAX(0,pca!D8),MAX(0,MIN(1,VLOOKUP(4,h_nat_tbl,2,FALSE))),RAND()),0)</f>
        <v/>
      </c>
      <c r="F8">
        <f>IFERROR(_xlfn.BINOM.INV(MAX(0,pca!E8),MAX(0,MIN(1,VLOOKUP(5,h_nat_tbl,2,FALSE))),RAND()),0)</f>
        <v/>
      </c>
      <c r="G8">
        <f>IFERROR(_xlfn.BINOM.INV(MAX(0,pca!F8),MAX(0,MIN(1,VLOOKUP(6,h_nat_tbl,2,FALSE))),RAND()),0)</f>
        <v/>
      </c>
      <c r="H8">
        <f>IFERROR(_xlfn.BINOM.INV(MAX(0,pca!G8),MAX(0,MIN(1,VLOOKUP(7,h_nat_tbl,2,FALSE))),RAND()),0)</f>
        <v/>
      </c>
      <c r="I8">
        <f>IFERROR(_xlfn.BINOM.INV(MAX(0,pca!H8),MAX(0,MIN(1,VLOOKUP(8,h_nat_tbl,2,FALSE))),RAND()),0)</f>
        <v/>
      </c>
      <c r="J8">
        <f>IFERROR(_xlfn.BINOM.INV(MAX(0,pca!I8),MAX(0,MIN(1,VLOOKUP(9,h_nat_tbl,2,FALSE))),RAND()),0)</f>
        <v/>
      </c>
      <c r="K8">
        <f>IFERROR(_xlfn.BINOM.INV(MAX(0,pca!J8),MAX(0,MIN(1,VLOOKUP(10,h_nat_tbl,2,FALSE))),RAND()),0)</f>
        <v/>
      </c>
    </row>
    <row r="9">
      <c r="A9" t="n">
        <v>7</v>
      </c>
      <c r="B9">
        <f>IFERROR(_xlfn.BINOM.INV(MAX(0,SUM(urodz_ch!C9:K9)),MAX(0,MIN(1,VLOOKUP(1,h_nat_tbl,2,FALSE))),RAND()),0)</f>
        <v/>
      </c>
      <c r="C9">
        <f>IFERROR(_xlfn.BINOM.INV(MAX(0,pca!B9),MAX(0,MIN(1,VLOOKUP(2,h_nat_tbl,2,FALSE))),RAND()),0)</f>
        <v/>
      </c>
      <c r="D9">
        <f>IFERROR(_xlfn.BINOM.INV(MAX(0,pca!C9),MAX(0,MIN(1,VLOOKUP(3,h_nat_tbl,2,FALSE))),RAND()),0)</f>
        <v/>
      </c>
      <c r="E9">
        <f>IFERROR(_xlfn.BINOM.INV(MAX(0,pca!D9),MAX(0,MIN(1,VLOOKUP(4,h_nat_tbl,2,FALSE))),RAND()),0)</f>
        <v/>
      </c>
      <c r="F9">
        <f>IFERROR(_xlfn.BINOM.INV(MAX(0,pca!E9),MAX(0,MIN(1,VLOOKUP(5,h_nat_tbl,2,FALSE))),RAND()),0)</f>
        <v/>
      </c>
      <c r="G9">
        <f>IFERROR(_xlfn.BINOM.INV(MAX(0,pca!F9),MAX(0,MIN(1,VLOOKUP(6,h_nat_tbl,2,FALSE))),RAND()),0)</f>
        <v/>
      </c>
      <c r="H9">
        <f>IFERROR(_xlfn.BINOM.INV(MAX(0,pca!G9),MAX(0,MIN(1,VLOOKUP(7,h_nat_tbl,2,FALSE))),RAND()),0)</f>
        <v/>
      </c>
      <c r="I9">
        <f>IFERROR(_xlfn.BINOM.INV(MAX(0,pca!H9),MAX(0,MIN(1,VLOOKUP(8,h_nat_tbl,2,FALSE))),RAND()),0)</f>
        <v/>
      </c>
      <c r="J9">
        <f>IFERROR(_xlfn.BINOM.INV(MAX(0,pca!I9),MAX(0,MIN(1,VLOOKUP(9,h_nat_tbl,2,FALSE))),RAND()),0)</f>
        <v/>
      </c>
      <c r="K9">
        <f>IFERROR(_xlfn.BINOM.INV(MAX(0,pca!J9),MAX(0,MIN(1,VLOOKUP(10,h_nat_tbl,2,FALSE))),RAND()),0)</f>
        <v/>
      </c>
    </row>
    <row r="10">
      <c r="A10" t="n">
        <v>8</v>
      </c>
      <c r="B10">
        <f>IFERROR(_xlfn.BINOM.INV(MAX(0,SUM(urodz_ch!C10:K10)),MAX(0,MIN(1,VLOOKUP(1,h_nat_tbl,2,FALSE))),RAND()),0)</f>
        <v/>
      </c>
      <c r="C10">
        <f>IFERROR(_xlfn.BINOM.INV(MAX(0,pca!B10),MAX(0,MIN(1,VLOOKUP(2,h_nat_tbl,2,FALSE))),RAND()),0)</f>
        <v/>
      </c>
      <c r="D10">
        <f>IFERROR(_xlfn.BINOM.INV(MAX(0,pca!C10),MAX(0,MIN(1,VLOOKUP(3,h_nat_tbl,2,FALSE))),RAND()),0)</f>
        <v/>
      </c>
      <c r="E10">
        <f>IFERROR(_xlfn.BINOM.INV(MAX(0,pca!D10),MAX(0,MIN(1,VLOOKUP(4,h_nat_tbl,2,FALSE))),RAND()),0)</f>
        <v/>
      </c>
      <c r="F10">
        <f>IFERROR(_xlfn.BINOM.INV(MAX(0,pca!E10),MAX(0,MIN(1,VLOOKUP(5,h_nat_tbl,2,FALSE))),RAND()),0)</f>
        <v/>
      </c>
      <c r="G10">
        <f>IFERROR(_xlfn.BINOM.INV(MAX(0,pca!F10),MAX(0,MIN(1,VLOOKUP(6,h_nat_tbl,2,FALSE))),RAND()),0)</f>
        <v/>
      </c>
      <c r="H10">
        <f>IFERROR(_xlfn.BINOM.INV(MAX(0,pca!G10),MAX(0,MIN(1,VLOOKUP(7,h_nat_tbl,2,FALSE))),RAND()),0)</f>
        <v/>
      </c>
      <c r="I10">
        <f>IFERROR(_xlfn.BINOM.INV(MAX(0,pca!H10),MAX(0,MIN(1,VLOOKUP(8,h_nat_tbl,2,FALSE))),RAND()),0)</f>
        <v/>
      </c>
      <c r="J10">
        <f>IFERROR(_xlfn.BINOM.INV(MAX(0,pca!I10),MAX(0,MIN(1,VLOOKUP(9,h_nat_tbl,2,FALSE))),RAND()),0)</f>
        <v/>
      </c>
      <c r="K10">
        <f>IFERROR(_xlfn.BINOM.INV(MAX(0,pca!J10),MAX(0,MIN(1,VLOOKUP(10,h_nat_tbl,2,FALSE))),RAND()),0)</f>
        <v/>
      </c>
    </row>
    <row r="11">
      <c r="A11" t="n">
        <v>9</v>
      </c>
      <c r="B11">
        <f>IFERROR(_xlfn.BINOM.INV(MAX(0,SUM(urodz_ch!C11:K11)),MAX(0,MIN(1,VLOOKUP(1,h_nat_tbl,2,FALSE))),RAND()),0)</f>
        <v/>
      </c>
      <c r="C11">
        <f>IFERROR(_xlfn.BINOM.INV(MAX(0,pca!B11),MAX(0,MIN(1,VLOOKUP(2,h_nat_tbl,2,FALSE))),RAND()),0)</f>
        <v/>
      </c>
      <c r="D11">
        <f>IFERROR(_xlfn.BINOM.INV(MAX(0,pca!C11),MAX(0,MIN(1,VLOOKUP(3,h_nat_tbl,2,FALSE))),RAND()),0)</f>
        <v/>
      </c>
      <c r="E11">
        <f>IFERROR(_xlfn.BINOM.INV(MAX(0,pca!D11),MAX(0,MIN(1,VLOOKUP(4,h_nat_tbl,2,FALSE))),RAND()),0)</f>
        <v/>
      </c>
      <c r="F11">
        <f>IFERROR(_xlfn.BINOM.INV(MAX(0,pca!E11),MAX(0,MIN(1,VLOOKUP(5,h_nat_tbl,2,FALSE))),RAND()),0)</f>
        <v/>
      </c>
      <c r="G11">
        <f>IFERROR(_xlfn.BINOM.INV(MAX(0,pca!F11),MAX(0,MIN(1,VLOOKUP(6,h_nat_tbl,2,FALSE))),RAND()),0)</f>
        <v/>
      </c>
      <c r="H11">
        <f>IFERROR(_xlfn.BINOM.INV(MAX(0,pca!G11),MAX(0,MIN(1,VLOOKUP(7,h_nat_tbl,2,FALSE))),RAND()),0)</f>
        <v/>
      </c>
      <c r="I11">
        <f>IFERROR(_xlfn.BINOM.INV(MAX(0,pca!H11),MAX(0,MIN(1,VLOOKUP(8,h_nat_tbl,2,FALSE))),RAND()),0)</f>
        <v/>
      </c>
      <c r="J11">
        <f>IFERROR(_xlfn.BINOM.INV(MAX(0,pca!I11),MAX(0,MIN(1,VLOOKUP(9,h_nat_tbl,2,FALSE))),RAND()),0)</f>
        <v/>
      </c>
      <c r="K11">
        <f>IFERROR(_xlfn.BINOM.INV(MAX(0,pca!J11),MAX(0,MIN(1,VLOOKUP(10,h_nat_tbl,2,FALSE))),RAND()),0)</f>
        <v/>
      </c>
    </row>
    <row r="12">
      <c r="A12" t="n">
        <v>10</v>
      </c>
      <c r="B12">
        <f>IFERROR(_xlfn.BINOM.INV(MAX(0,SUM(urodz_ch!C12:K12)),MAX(0,MIN(1,VLOOKUP(1,h_nat_tbl,2,FALSE))),RAND()),0)</f>
        <v/>
      </c>
      <c r="C12">
        <f>IFERROR(_xlfn.BINOM.INV(MAX(0,pca!B12),MAX(0,MIN(1,VLOOKUP(2,h_nat_tbl,2,FALSE))),RAND()),0)</f>
        <v/>
      </c>
      <c r="D12">
        <f>IFERROR(_xlfn.BINOM.INV(MAX(0,pca!C12),MAX(0,MIN(1,VLOOKUP(3,h_nat_tbl,2,FALSE))),RAND()),0)</f>
        <v/>
      </c>
      <c r="E12">
        <f>IFERROR(_xlfn.BINOM.INV(MAX(0,pca!D12),MAX(0,MIN(1,VLOOKUP(4,h_nat_tbl,2,FALSE))),RAND()),0)</f>
        <v/>
      </c>
      <c r="F12">
        <f>IFERROR(_xlfn.BINOM.INV(MAX(0,pca!E12),MAX(0,MIN(1,VLOOKUP(5,h_nat_tbl,2,FALSE))),RAND()),0)</f>
        <v/>
      </c>
      <c r="G12">
        <f>IFERROR(_xlfn.BINOM.INV(MAX(0,pca!F12),MAX(0,MIN(1,VLOOKUP(6,h_nat_tbl,2,FALSE))),RAND()),0)</f>
        <v/>
      </c>
      <c r="H12">
        <f>IFERROR(_xlfn.BINOM.INV(MAX(0,pca!G12),MAX(0,MIN(1,VLOOKUP(7,h_nat_tbl,2,FALSE))),RAND()),0)</f>
        <v/>
      </c>
      <c r="I12">
        <f>IFERROR(_xlfn.BINOM.INV(MAX(0,pca!H12),MAX(0,MIN(1,VLOOKUP(8,h_nat_tbl,2,FALSE))),RAND()),0)</f>
        <v/>
      </c>
      <c r="J12">
        <f>IFERROR(_xlfn.BINOM.INV(MAX(0,pca!I12),MAX(0,MIN(1,VLOOKUP(9,h_nat_tbl,2,FALSE))),RAND()),0)</f>
        <v/>
      </c>
      <c r="K12">
        <f>IFERROR(_xlfn.BINOM.INV(MAX(0,pca!J12),MAX(0,MIN(1,VLOOKUP(10,h_nat_tbl,2,FALSE))),RAND()),0)</f>
        <v/>
      </c>
    </row>
    <row r="13">
      <c r="A13" t="n">
        <v>11</v>
      </c>
      <c r="B13">
        <f>IFERROR(_xlfn.BINOM.INV(MAX(0,SUM(urodz_ch!C13:K13)),MAX(0,MIN(1,VLOOKUP(1,h_nat_tbl,2,FALSE))),RAND()),0)</f>
        <v/>
      </c>
      <c r="C13">
        <f>IFERROR(_xlfn.BINOM.INV(MAX(0,pca!B13),MAX(0,MIN(1,VLOOKUP(2,h_nat_tbl,2,FALSE))),RAND()),0)</f>
        <v/>
      </c>
      <c r="D13">
        <f>IFERROR(_xlfn.BINOM.INV(MAX(0,pca!C13),MAX(0,MIN(1,VLOOKUP(3,h_nat_tbl,2,FALSE))),RAND()),0)</f>
        <v/>
      </c>
      <c r="E13">
        <f>IFERROR(_xlfn.BINOM.INV(MAX(0,pca!D13),MAX(0,MIN(1,VLOOKUP(4,h_nat_tbl,2,FALSE))),RAND()),0)</f>
        <v/>
      </c>
      <c r="F13">
        <f>IFERROR(_xlfn.BINOM.INV(MAX(0,pca!E13),MAX(0,MIN(1,VLOOKUP(5,h_nat_tbl,2,FALSE))),RAND()),0)</f>
        <v/>
      </c>
      <c r="G13">
        <f>IFERROR(_xlfn.BINOM.INV(MAX(0,pca!F13),MAX(0,MIN(1,VLOOKUP(6,h_nat_tbl,2,FALSE))),RAND()),0)</f>
        <v/>
      </c>
      <c r="H13">
        <f>IFERROR(_xlfn.BINOM.INV(MAX(0,pca!G13),MAX(0,MIN(1,VLOOKUP(7,h_nat_tbl,2,FALSE))),RAND()),0)</f>
        <v/>
      </c>
      <c r="I13">
        <f>IFERROR(_xlfn.BINOM.INV(MAX(0,pca!H13),MAX(0,MIN(1,VLOOKUP(8,h_nat_tbl,2,FALSE))),RAND()),0)</f>
        <v/>
      </c>
      <c r="J13">
        <f>IFERROR(_xlfn.BINOM.INV(MAX(0,pca!I13),MAX(0,MIN(1,VLOOKUP(9,h_nat_tbl,2,FALSE))),RAND()),0)</f>
        <v/>
      </c>
      <c r="K13">
        <f>IFERROR(_xlfn.BINOM.INV(MAX(0,pca!J13),MAX(0,MIN(1,VLOOKUP(10,h_nat_tbl,2,FALSE))),RAND()),0)</f>
        <v/>
      </c>
    </row>
    <row r="14">
      <c r="A14" t="n">
        <v>12</v>
      </c>
      <c r="B14">
        <f>IFERROR(_xlfn.BINOM.INV(MAX(0,SUM(urodz_ch!C14:K14)),MAX(0,MIN(1,VLOOKUP(1,h_nat_tbl,2,FALSE))),RAND()),0)</f>
        <v/>
      </c>
      <c r="C14">
        <f>IFERROR(_xlfn.BINOM.INV(MAX(0,pca!B14),MAX(0,MIN(1,VLOOKUP(2,h_nat_tbl,2,FALSE))),RAND()),0)</f>
        <v/>
      </c>
      <c r="D14">
        <f>IFERROR(_xlfn.BINOM.INV(MAX(0,pca!C14),MAX(0,MIN(1,VLOOKUP(3,h_nat_tbl,2,FALSE))),RAND()),0)</f>
        <v/>
      </c>
      <c r="E14">
        <f>IFERROR(_xlfn.BINOM.INV(MAX(0,pca!D14),MAX(0,MIN(1,VLOOKUP(4,h_nat_tbl,2,FALSE))),RAND()),0)</f>
        <v/>
      </c>
      <c r="F14">
        <f>IFERROR(_xlfn.BINOM.INV(MAX(0,pca!E14),MAX(0,MIN(1,VLOOKUP(5,h_nat_tbl,2,FALSE))),RAND()),0)</f>
        <v/>
      </c>
      <c r="G14">
        <f>IFERROR(_xlfn.BINOM.INV(MAX(0,pca!F14),MAX(0,MIN(1,VLOOKUP(6,h_nat_tbl,2,FALSE))),RAND()),0)</f>
        <v/>
      </c>
      <c r="H14">
        <f>IFERROR(_xlfn.BINOM.INV(MAX(0,pca!G14),MAX(0,MIN(1,VLOOKUP(7,h_nat_tbl,2,FALSE))),RAND()),0)</f>
        <v/>
      </c>
      <c r="I14">
        <f>IFERROR(_xlfn.BINOM.INV(MAX(0,pca!H14),MAX(0,MIN(1,VLOOKUP(8,h_nat_tbl,2,FALSE))),RAND()),0)</f>
        <v/>
      </c>
      <c r="J14">
        <f>IFERROR(_xlfn.BINOM.INV(MAX(0,pca!I14),MAX(0,MIN(1,VLOOKUP(9,h_nat_tbl,2,FALSE))),RAND()),0)</f>
        <v/>
      </c>
      <c r="K14">
        <f>IFERROR(_xlfn.BINOM.INV(MAX(0,pca!J14),MAX(0,MIN(1,VLOOKUP(10,h_nat_tbl,2,FALSE))),RAND()),0)</f>
        <v/>
      </c>
    </row>
    <row r="15">
      <c r="A15" t="n">
        <v>13</v>
      </c>
      <c r="B15">
        <f>IFERROR(_xlfn.BINOM.INV(MAX(0,SUM(urodz_ch!C15:K15)),MAX(0,MIN(1,VLOOKUP(1,h_nat_tbl,2,FALSE))),RAND()),0)</f>
        <v/>
      </c>
      <c r="C15">
        <f>IFERROR(_xlfn.BINOM.INV(MAX(0,pca!B15),MAX(0,MIN(1,VLOOKUP(2,h_nat_tbl,2,FALSE))),RAND()),0)</f>
        <v/>
      </c>
      <c r="D15">
        <f>IFERROR(_xlfn.BINOM.INV(MAX(0,pca!C15),MAX(0,MIN(1,VLOOKUP(3,h_nat_tbl,2,FALSE))),RAND()),0)</f>
        <v/>
      </c>
      <c r="E15">
        <f>IFERROR(_xlfn.BINOM.INV(MAX(0,pca!D15),MAX(0,MIN(1,VLOOKUP(4,h_nat_tbl,2,FALSE))),RAND()),0)</f>
        <v/>
      </c>
      <c r="F15">
        <f>IFERROR(_xlfn.BINOM.INV(MAX(0,pca!E15),MAX(0,MIN(1,VLOOKUP(5,h_nat_tbl,2,FALSE))),RAND()),0)</f>
        <v/>
      </c>
      <c r="G15">
        <f>IFERROR(_xlfn.BINOM.INV(MAX(0,pca!F15),MAX(0,MIN(1,VLOOKUP(6,h_nat_tbl,2,FALSE))),RAND()),0)</f>
        <v/>
      </c>
      <c r="H15">
        <f>IFERROR(_xlfn.BINOM.INV(MAX(0,pca!G15),MAX(0,MIN(1,VLOOKUP(7,h_nat_tbl,2,FALSE))),RAND()),0)</f>
        <v/>
      </c>
      <c r="I15">
        <f>IFERROR(_xlfn.BINOM.INV(MAX(0,pca!H15),MAX(0,MIN(1,VLOOKUP(8,h_nat_tbl,2,FALSE))),RAND()),0)</f>
        <v/>
      </c>
      <c r="J15">
        <f>IFERROR(_xlfn.BINOM.INV(MAX(0,pca!I15),MAX(0,MIN(1,VLOOKUP(9,h_nat_tbl,2,FALSE))),RAND()),0)</f>
        <v/>
      </c>
      <c r="K15">
        <f>IFERROR(_xlfn.BINOM.INV(MAX(0,pca!J15),MAX(0,MIN(1,VLOOKUP(10,h_nat_tbl,2,FALSE))),RAND()),0)</f>
        <v/>
      </c>
    </row>
    <row r="16">
      <c r="A16" t="n">
        <v>14</v>
      </c>
      <c r="B16">
        <f>IFERROR(_xlfn.BINOM.INV(MAX(0,SUM(urodz_ch!C16:K16)),MAX(0,MIN(1,VLOOKUP(1,h_nat_tbl,2,FALSE))),RAND()),0)</f>
        <v/>
      </c>
      <c r="C16">
        <f>IFERROR(_xlfn.BINOM.INV(MAX(0,pca!B16),MAX(0,MIN(1,VLOOKUP(2,h_nat_tbl,2,FALSE))),RAND()),0)</f>
        <v/>
      </c>
      <c r="D16">
        <f>IFERROR(_xlfn.BINOM.INV(MAX(0,pca!C16),MAX(0,MIN(1,VLOOKUP(3,h_nat_tbl,2,FALSE))),RAND()),0)</f>
        <v/>
      </c>
      <c r="E16">
        <f>IFERROR(_xlfn.BINOM.INV(MAX(0,pca!D16),MAX(0,MIN(1,VLOOKUP(4,h_nat_tbl,2,FALSE))),RAND()),0)</f>
        <v/>
      </c>
      <c r="F16">
        <f>IFERROR(_xlfn.BINOM.INV(MAX(0,pca!E16),MAX(0,MIN(1,VLOOKUP(5,h_nat_tbl,2,FALSE))),RAND()),0)</f>
        <v/>
      </c>
      <c r="G16">
        <f>IFERROR(_xlfn.BINOM.INV(MAX(0,pca!F16),MAX(0,MIN(1,VLOOKUP(6,h_nat_tbl,2,FALSE))),RAND()),0)</f>
        <v/>
      </c>
      <c r="H16">
        <f>IFERROR(_xlfn.BINOM.INV(MAX(0,pca!G16),MAX(0,MIN(1,VLOOKUP(7,h_nat_tbl,2,FALSE))),RAND()),0)</f>
        <v/>
      </c>
      <c r="I16">
        <f>IFERROR(_xlfn.BINOM.INV(MAX(0,pca!H16),MAX(0,MIN(1,VLOOKUP(8,h_nat_tbl,2,FALSE))),RAND()),0)</f>
        <v/>
      </c>
      <c r="J16">
        <f>IFERROR(_xlfn.BINOM.INV(MAX(0,pca!I16),MAX(0,MIN(1,VLOOKUP(9,h_nat_tbl,2,FALSE))),RAND()),0)</f>
        <v/>
      </c>
      <c r="K16">
        <f>IFERROR(_xlfn.BINOM.INV(MAX(0,pca!J16),MAX(0,MIN(1,VLOOKUP(10,h_nat_tbl,2,FALSE))),RAND()),0)</f>
        <v/>
      </c>
    </row>
    <row r="17">
      <c r="A17" t="n">
        <v>15</v>
      </c>
      <c r="B17">
        <f>IFERROR(_xlfn.BINOM.INV(MAX(0,SUM(urodz_ch!C17:K17)),MAX(0,MIN(1,VLOOKUP(1,h_nat_tbl,2,FALSE))),RAND()),0)</f>
        <v/>
      </c>
      <c r="C17">
        <f>IFERROR(_xlfn.BINOM.INV(MAX(0,pca!B17),MAX(0,MIN(1,VLOOKUP(2,h_nat_tbl,2,FALSE))),RAND()),0)</f>
        <v/>
      </c>
      <c r="D17">
        <f>IFERROR(_xlfn.BINOM.INV(MAX(0,pca!C17),MAX(0,MIN(1,VLOOKUP(3,h_nat_tbl,2,FALSE))),RAND()),0)</f>
        <v/>
      </c>
      <c r="E17">
        <f>IFERROR(_xlfn.BINOM.INV(MAX(0,pca!D17),MAX(0,MIN(1,VLOOKUP(4,h_nat_tbl,2,FALSE))),RAND()),0)</f>
        <v/>
      </c>
      <c r="F17">
        <f>IFERROR(_xlfn.BINOM.INV(MAX(0,pca!E17),MAX(0,MIN(1,VLOOKUP(5,h_nat_tbl,2,FALSE))),RAND()),0)</f>
        <v/>
      </c>
      <c r="G17">
        <f>IFERROR(_xlfn.BINOM.INV(MAX(0,pca!F17),MAX(0,MIN(1,VLOOKUP(6,h_nat_tbl,2,FALSE))),RAND()),0)</f>
        <v/>
      </c>
      <c r="H17">
        <f>IFERROR(_xlfn.BINOM.INV(MAX(0,pca!G17),MAX(0,MIN(1,VLOOKUP(7,h_nat_tbl,2,FALSE))),RAND()),0)</f>
        <v/>
      </c>
      <c r="I17">
        <f>IFERROR(_xlfn.BINOM.INV(MAX(0,pca!H17),MAX(0,MIN(1,VLOOKUP(8,h_nat_tbl,2,FALSE))),RAND()),0)</f>
        <v/>
      </c>
      <c r="J17">
        <f>IFERROR(_xlfn.BINOM.INV(MAX(0,pca!I17),MAX(0,MIN(1,VLOOKUP(9,h_nat_tbl,2,FALSE))),RAND()),0)</f>
        <v/>
      </c>
      <c r="K17">
        <f>IFERROR(_xlfn.BINOM.INV(MAX(0,pca!J17),MAX(0,MIN(1,VLOOKUP(10,h_nat_tbl,2,FALSE))),RAND()),0)</f>
        <v/>
      </c>
    </row>
    <row r="18">
      <c r="A18" t="n">
        <v>16</v>
      </c>
      <c r="B18">
        <f>IFERROR(_xlfn.BINOM.INV(MAX(0,SUM(urodz_ch!C18:K18)),MAX(0,MIN(1,VLOOKUP(1,h_nat_tbl,2,FALSE))),RAND()),0)</f>
        <v/>
      </c>
      <c r="C18">
        <f>IFERROR(_xlfn.BINOM.INV(MAX(0,pca!B18),MAX(0,MIN(1,VLOOKUP(2,h_nat_tbl,2,FALSE))),RAND()),0)</f>
        <v/>
      </c>
      <c r="D18">
        <f>IFERROR(_xlfn.BINOM.INV(MAX(0,pca!C18),MAX(0,MIN(1,VLOOKUP(3,h_nat_tbl,2,FALSE))),RAND()),0)</f>
        <v/>
      </c>
      <c r="E18">
        <f>IFERROR(_xlfn.BINOM.INV(MAX(0,pca!D18),MAX(0,MIN(1,VLOOKUP(4,h_nat_tbl,2,FALSE))),RAND()),0)</f>
        <v/>
      </c>
      <c r="F18">
        <f>IFERROR(_xlfn.BINOM.INV(MAX(0,pca!E18),MAX(0,MIN(1,VLOOKUP(5,h_nat_tbl,2,FALSE))),RAND()),0)</f>
        <v/>
      </c>
      <c r="G18">
        <f>IFERROR(_xlfn.BINOM.INV(MAX(0,pca!F18),MAX(0,MIN(1,VLOOKUP(6,h_nat_tbl,2,FALSE))),RAND()),0)</f>
        <v/>
      </c>
      <c r="H18">
        <f>IFERROR(_xlfn.BINOM.INV(MAX(0,pca!G18),MAX(0,MIN(1,VLOOKUP(7,h_nat_tbl,2,FALSE))),RAND()),0)</f>
        <v/>
      </c>
      <c r="I18">
        <f>IFERROR(_xlfn.BINOM.INV(MAX(0,pca!H18),MAX(0,MIN(1,VLOOKUP(8,h_nat_tbl,2,FALSE))),RAND()),0)</f>
        <v/>
      </c>
      <c r="J18">
        <f>IFERROR(_xlfn.BINOM.INV(MAX(0,pca!I18),MAX(0,MIN(1,VLOOKUP(9,h_nat_tbl,2,FALSE))),RAND()),0)</f>
        <v/>
      </c>
      <c r="K18">
        <f>IFERROR(_xlfn.BINOM.INV(MAX(0,pca!J18),MAX(0,MIN(1,VLOOKUP(10,h_nat_tbl,2,FALSE))),RAND()),0)</f>
        <v/>
      </c>
    </row>
    <row r="19">
      <c r="A19" t="n">
        <v>17</v>
      </c>
      <c r="B19">
        <f>IFERROR(_xlfn.BINOM.INV(MAX(0,SUM(urodz_ch!C19:K19)),MAX(0,MIN(1,VLOOKUP(1,h_nat_tbl,2,FALSE))),RAND()),0)</f>
        <v/>
      </c>
      <c r="C19">
        <f>IFERROR(_xlfn.BINOM.INV(MAX(0,pca!B19),MAX(0,MIN(1,VLOOKUP(2,h_nat_tbl,2,FALSE))),RAND()),0)</f>
        <v/>
      </c>
      <c r="D19">
        <f>IFERROR(_xlfn.BINOM.INV(MAX(0,pca!C19),MAX(0,MIN(1,VLOOKUP(3,h_nat_tbl,2,FALSE))),RAND()),0)</f>
        <v/>
      </c>
      <c r="E19">
        <f>IFERROR(_xlfn.BINOM.INV(MAX(0,pca!D19),MAX(0,MIN(1,VLOOKUP(4,h_nat_tbl,2,FALSE))),RAND()),0)</f>
        <v/>
      </c>
      <c r="F19">
        <f>IFERROR(_xlfn.BINOM.INV(MAX(0,pca!E19),MAX(0,MIN(1,VLOOKUP(5,h_nat_tbl,2,FALSE))),RAND()),0)</f>
        <v/>
      </c>
      <c r="G19">
        <f>IFERROR(_xlfn.BINOM.INV(MAX(0,pca!F19),MAX(0,MIN(1,VLOOKUP(6,h_nat_tbl,2,FALSE))),RAND()),0)</f>
        <v/>
      </c>
      <c r="H19">
        <f>IFERROR(_xlfn.BINOM.INV(MAX(0,pca!G19),MAX(0,MIN(1,VLOOKUP(7,h_nat_tbl,2,FALSE))),RAND()),0)</f>
        <v/>
      </c>
      <c r="I19">
        <f>IFERROR(_xlfn.BINOM.INV(MAX(0,pca!H19),MAX(0,MIN(1,VLOOKUP(8,h_nat_tbl,2,FALSE))),RAND()),0)</f>
        <v/>
      </c>
      <c r="J19">
        <f>IFERROR(_xlfn.BINOM.INV(MAX(0,pca!I19),MAX(0,MIN(1,VLOOKUP(9,h_nat_tbl,2,FALSE))),RAND()),0)</f>
        <v/>
      </c>
      <c r="K19">
        <f>IFERROR(_xlfn.BINOM.INV(MAX(0,pca!J19),MAX(0,MIN(1,VLOOKUP(10,h_nat_tbl,2,FALSE))),RAND()),0)</f>
        <v/>
      </c>
    </row>
    <row r="20">
      <c r="A20" t="n">
        <v>18</v>
      </c>
      <c r="B20">
        <f>IFERROR(_xlfn.BINOM.INV(MAX(0,SUM(urodz_ch!C20:K20)),MAX(0,MIN(1,VLOOKUP(1,h_nat_tbl,2,FALSE))),RAND()),0)</f>
        <v/>
      </c>
      <c r="C20">
        <f>IFERROR(_xlfn.BINOM.INV(MAX(0,pca!B20),MAX(0,MIN(1,VLOOKUP(2,h_nat_tbl,2,FALSE))),RAND()),0)</f>
        <v/>
      </c>
      <c r="D20">
        <f>IFERROR(_xlfn.BINOM.INV(MAX(0,pca!C20),MAX(0,MIN(1,VLOOKUP(3,h_nat_tbl,2,FALSE))),RAND()),0)</f>
        <v/>
      </c>
      <c r="E20">
        <f>IFERROR(_xlfn.BINOM.INV(MAX(0,pca!D20),MAX(0,MIN(1,VLOOKUP(4,h_nat_tbl,2,FALSE))),RAND()),0)</f>
        <v/>
      </c>
      <c r="F20">
        <f>IFERROR(_xlfn.BINOM.INV(MAX(0,pca!E20),MAX(0,MIN(1,VLOOKUP(5,h_nat_tbl,2,FALSE))),RAND()),0)</f>
        <v/>
      </c>
      <c r="G20">
        <f>IFERROR(_xlfn.BINOM.INV(MAX(0,pca!F20),MAX(0,MIN(1,VLOOKUP(6,h_nat_tbl,2,FALSE))),RAND()),0)</f>
        <v/>
      </c>
      <c r="H20">
        <f>IFERROR(_xlfn.BINOM.INV(MAX(0,pca!G20),MAX(0,MIN(1,VLOOKUP(7,h_nat_tbl,2,FALSE))),RAND()),0)</f>
        <v/>
      </c>
      <c r="I20">
        <f>IFERROR(_xlfn.BINOM.INV(MAX(0,pca!H20),MAX(0,MIN(1,VLOOKUP(8,h_nat_tbl,2,FALSE))),RAND()),0)</f>
        <v/>
      </c>
      <c r="J20">
        <f>IFERROR(_xlfn.BINOM.INV(MAX(0,pca!I20),MAX(0,MIN(1,VLOOKUP(9,h_nat_tbl,2,FALSE))),RAND()),0)</f>
        <v/>
      </c>
      <c r="K20">
        <f>IFERROR(_xlfn.BINOM.INV(MAX(0,pca!J20),MAX(0,MIN(1,VLOOKUP(10,h_nat_tbl,2,FALSE))),RAND()),0)</f>
        <v/>
      </c>
    </row>
    <row r="21">
      <c r="A21" t="n">
        <v>19</v>
      </c>
      <c r="B21">
        <f>IFERROR(_xlfn.BINOM.INV(MAX(0,SUM(urodz_ch!C21:K21)),MAX(0,MIN(1,VLOOKUP(1,h_nat_tbl,2,FALSE))),RAND()),0)</f>
        <v/>
      </c>
      <c r="C21">
        <f>IFERROR(_xlfn.BINOM.INV(MAX(0,pca!B21),MAX(0,MIN(1,VLOOKUP(2,h_nat_tbl,2,FALSE))),RAND()),0)</f>
        <v/>
      </c>
      <c r="D21">
        <f>IFERROR(_xlfn.BINOM.INV(MAX(0,pca!C21),MAX(0,MIN(1,VLOOKUP(3,h_nat_tbl,2,FALSE))),RAND()),0)</f>
        <v/>
      </c>
      <c r="E21">
        <f>IFERROR(_xlfn.BINOM.INV(MAX(0,pca!D21),MAX(0,MIN(1,VLOOKUP(4,h_nat_tbl,2,FALSE))),RAND()),0)</f>
        <v/>
      </c>
      <c r="F21">
        <f>IFERROR(_xlfn.BINOM.INV(MAX(0,pca!E21),MAX(0,MIN(1,VLOOKUP(5,h_nat_tbl,2,FALSE))),RAND()),0)</f>
        <v/>
      </c>
      <c r="G21">
        <f>IFERROR(_xlfn.BINOM.INV(MAX(0,pca!F21),MAX(0,MIN(1,VLOOKUP(6,h_nat_tbl,2,FALSE))),RAND()),0)</f>
        <v/>
      </c>
      <c r="H21">
        <f>IFERROR(_xlfn.BINOM.INV(MAX(0,pca!G21),MAX(0,MIN(1,VLOOKUP(7,h_nat_tbl,2,FALSE))),RAND()),0)</f>
        <v/>
      </c>
      <c r="I21">
        <f>IFERROR(_xlfn.BINOM.INV(MAX(0,pca!H21),MAX(0,MIN(1,VLOOKUP(8,h_nat_tbl,2,FALSE))),RAND()),0)</f>
        <v/>
      </c>
      <c r="J21">
        <f>IFERROR(_xlfn.BINOM.INV(MAX(0,pca!I21),MAX(0,MIN(1,VLOOKUP(9,h_nat_tbl,2,FALSE))),RAND()),0)</f>
        <v/>
      </c>
      <c r="K21">
        <f>IFERROR(_xlfn.BINOM.INV(MAX(0,pca!J21),MAX(0,MIN(1,VLOOKUP(10,h_nat_tbl,2,FALSE))),RAND()),0)</f>
        <v/>
      </c>
    </row>
    <row r="22">
      <c r="A22" t="n">
        <v>20</v>
      </c>
      <c r="B22">
        <f>IFERROR(_xlfn.BINOM.INV(MAX(0,SUM(urodz_ch!C22:K22)),MAX(0,MIN(1,VLOOKUP(1,h_nat_tbl,2,FALSE))),RAND()),0)</f>
        <v/>
      </c>
      <c r="C22">
        <f>IFERROR(_xlfn.BINOM.INV(MAX(0,pca!B22),MAX(0,MIN(1,VLOOKUP(2,h_nat_tbl,2,FALSE))),RAND()),0)</f>
        <v/>
      </c>
      <c r="D22">
        <f>IFERROR(_xlfn.BINOM.INV(MAX(0,pca!C22),MAX(0,MIN(1,VLOOKUP(3,h_nat_tbl,2,FALSE))),RAND()),0)</f>
        <v/>
      </c>
      <c r="E22">
        <f>IFERROR(_xlfn.BINOM.INV(MAX(0,pca!D22),MAX(0,MIN(1,VLOOKUP(4,h_nat_tbl,2,FALSE))),RAND()),0)</f>
        <v/>
      </c>
      <c r="F22">
        <f>IFERROR(_xlfn.BINOM.INV(MAX(0,pca!E22),MAX(0,MIN(1,VLOOKUP(5,h_nat_tbl,2,FALSE))),RAND()),0)</f>
        <v/>
      </c>
      <c r="G22">
        <f>IFERROR(_xlfn.BINOM.INV(MAX(0,pca!F22),MAX(0,MIN(1,VLOOKUP(6,h_nat_tbl,2,FALSE))),RAND()),0)</f>
        <v/>
      </c>
      <c r="H22">
        <f>IFERROR(_xlfn.BINOM.INV(MAX(0,pca!G22),MAX(0,MIN(1,VLOOKUP(7,h_nat_tbl,2,FALSE))),RAND()),0)</f>
        <v/>
      </c>
      <c r="I22">
        <f>IFERROR(_xlfn.BINOM.INV(MAX(0,pca!H22),MAX(0,MIN(1,VLOOKUP(8,h_nat_tbl,2,FALSE))),RAND()),0)</f>
        <v/>
      </c>
      <c r="J22">
        <f>IFERROR(_xlfn.BINOM.INV(MAX(0,pca!I22),MAX(0,MIN(1,VLOOKUP(9,h_nat_tbl,2,FALSE))),RAND()),0)</f>
        <v/>
      </c>
      <c r="K22">
        <f>IFERROR(_xlfn.BINOM.INV(MAX(0,pca!J22),MAX(0,MIN(1,VLOOKUP(10,h_nat_tbl,2,FALSE))),RAND()),0)</f>
        <v/>
      </c>
    </row>
    <row r="23">
      <c r="A23" t="n">
        <v>21</v>
      </c>
      <c r="B23">
        <f>IFERROR(_xlfn.BINOM.INV(MAX(0,SUM(urodz_ch!C23:K23)),MAX(0,MIN(1,VLOOKUP(1,h_nat_tbl,2,FALSE))),RAND()),0)</f>
        <v/>
      </c>
      <c r="C23">
        <f>IFERROR(_xlfn.BINOM.INV(MAX(0,pca!B23),MAX(0,MIN(1,VLOOKUP(2,h_nat_tbl,2,FALSE))),RAND()),0)</f>
        <v/>
      </c>
      <c r="D23">
        <f>IFERROR(_xlfn.BINOM.INV(MAX(0,pca!C23),MAX(0,MIN(1,VLOOKUP(3,h_nat_tbl,2,FALSE))),RAND()),0)</f>
        <v/>
      </c>
      <c r="E23">
        <f>IFERROR(_xlfn.BINOM.INV(MAX(0,pca!D23),MAX(0,MIN(1,VLOOKUP(4,h_nat_tbl,2,FALSE))),RAND()),0)</f>
        <v/>
      </c>
      <c r="F23">
        <f>IFERROR(_xlfn.BINOM.INV(MAX(0,pca!E23),MAX(0,MIN(1,VLOOKUP(5,h_nat_tbl,2,FALSE))),RAND()),0)</f>
        <v/>
      </c>
      <c r="G23">
        <f>IFERROR(_xlfn.BINOM.INV(MAX(0,pca!F23),MAX(0,MIN(1,VLOOKUP(6,h_nat_tbl,2,FALSE))),RAND()),0)</f>
        <v/>
      </c>
      <c r="H23">
        <f>IFERROR(_xlfn.BINOM.INV(MAX(0,pca!G23),MAX(0,MIN(1,VLOOKUP(7,h_nat_tbl,2,FALSE))),RAND()),0)</f>
        <v/>
      </c>
      <c r="I23">
        <f>IFERROR(_xlfn.BINOM.INV(MAX(0,pca!H23),MAX(0,MIN(1,VLOOKUP(8,h_nat_tbl,2,FALSE))),RAND()),0)</f>
        <v/>
      </c>
      <c r="J23">
        <f>IFERROR(_xlfn.BINOM.INV(MAX(0,pca!I23),MAX(0,MIN(1,VLOOKUP(9,h_nat_tbl,2,FALSE))),RAND()),0)</f>
        <v/>
      </c>
      <c r="K23">
        <f>IFERROR(_xlfn.BINOM.INV(MAX(0,pca!J23),MAX(0,MIN(1,VLOOKUP(10,h_nat_tbl,2,FALSE))),RAND()),0)</f>
        <v/>
      </c>
    </row>
    <row r="24">
      <c r="A24" t="n">
        <v>22</v>
      </c>
      <c r="B24">
        <f>IFERROR(_xlfn.BINOM.INV(MAX(0,SUM(urodz_ch!C24:K24)),MAX(0,MIN(1,VLOOKUP(1,h_nat_tbl,2,FALSE))),RAND()),0)</f>
        <v/>
      </c>
      <c r="C24">
        <f>IFERROR(_xlfn.BINOM.INV(MAX(0,pca!B24),MAX(0,MIN(1,VLOOKUP(2,h_nat_tbl,2,FALSE))),RAND()),0)</f>
        <v/>
      </c>
      <c r="D24">
        <f>IFERROR(_xlfn.BINOM.INV(MAX(0,pca!C24),MAX(0,MIN(1,VLOOKUP(3,h_nat_tbl,2,FALSE))),RAND()),0)</f>
        <v/>
      </c>
      <c r="E24">
        <f>IFERROR(_xlfn.BINOM.INV(MAX(0,pca!D24),MAX(0,MIN(1,VLOOKUP(4,h_nat_tbl,2,FALSE))),RAND()),0)</f>
        <v/>
      </c>
      <c r="F24">
        <f>IFERROR(_xlfn.BINOM.INV(MAX(0,pca!E24),MAX(0,MIN(1,VLOOKUP(5,h_nat_tbl,2,FALSE))),RAND()),0)</f>
        <v/>
      </c>
      <c r="G24">
        <f>IFERROR(_xlfn.BINOM.INV(MAX(0,pca!F24),MAX(0,MIN(1,VLOOKUP(6,h_nat_tbl,2,FALSE))),RAND()),0)</f>
        <v/>
      </c>
      <c r="H24">
        <f>IFERROR(_xlfn.BINOM.INV(MAX(0,pca!G24),MAX(0,MIN(1,VLOOKUP(7,h_nat_tbl,2,FALSE))),RAND()),0)</f>
        <v/>
      </c>
      <c r="I24">
        <f>IFERROR(_xlfn.BINOM.INV(MAX(0,pca!H24),MAX(0,MIN(1,VLOOKUP(8,h_nat_tbl,2,FALSE))),RAND()),0)</f>
        <v/>
      </c>
      <c r="J24">
        <f>IFERROR(_xlfn.BINOM.INV(MAX(0,pca!I24),MAX(0,MIN(1,VLOOKUP(9,h_nat_tbl,2,FALSE))),RAND()),0)</f>
        <v/>
      </c>
      <c r="K24">
        <f>IFERROR(_xlfn.BINOM.INV(MAX(0,pca!J24),MAX(0,MIN(1,VLOOKUP(10,h_nat_tbl,2,FALSE))),RAND()),0)</f>
        <v/>
      </c>
    </row>
    <row r="25">
      <c r="A25" t="n">
        <v>23</v>
      </c>
      <c r="B25">
        <f>IFERROR(_xlfn.BINOM.INV(MAX(0,SUM(urodz_ch!C25:K25)),MAX(0,MIN(1,VLOOKUP(1,h_nat_tbl,2,FALSE))),RAND()),0)</f>
        <v/>
      </c>
      <c r="C25">
        <f>IFERROR(_xlfn.BINOM.INV(MAX(0,pca!B25),MAX(0,MIN(1,VLOOKUP(2,h_nat_tbl,2,FALSE))),RAND()),0)</f>
        <v/>
      </c>
      <c r="D25">
        <f>IFERROR(_xlfn.BINOM.INV(MAX(0,pca!C25),MAX(0,MIN(1,VLOOKUP(3,h_nat_tbl,2,FALSE))),RAND()),0)</f>
        <v/>
      </c>
      <c r="E25">
        <f>IFERROR(_xlfn.BINOM.INV(MAX(0,pca!D25),MAX(0,MIN(1,VLOOKUP(4,h_nat_tbl,2,FALSE))),RAND()),0)</f>
        <v/>
      </c>
      <c r="F25">
        <f>IFERROR(_xlfn.BINOM.INV(MAX(0,pca!E25),MAX(0,MIN(1,VLOOKUP(5,h_nat_tbl,2,FALSE))),RAND()),0)</f>
        <v/>
      </c>
      <c r="G25">
        <f>IFERROR(_xlfn.BINOM.INV(MAX(0,pca!F25),MAX(0,MIN(1,VLOOKUP(6,h_nat_tbl,2,FALSE))),RAND()),0)</f>
        <v/>
      </c>
      <c r="H25">
        <f>IFERROR(_xlfn.BINOM.INV(MAX(0,pca!G25),MAX(0,MIN(1,VLOOKUP(7,h_nat_tbl,2,FALSE))),RAND()),0)</f>
        <v/>
      </c>
      <c r="I25">
        <f>IFERROR(_xlfn.BINOM.INV(MAX(0,pca!H25),MAX(0,MIN(1,VLOOKUP(8,h_nat_tbl,2,FALSE))),RAND()),0)</f>
        <v/>
      </c>
      <c r="J25">
        <f>IFERROR(_xlfn.BINOM.INV(MAX(0,pca!I25),MAX(0,MIN(1,VLOOKUP(9,h_nat_tbl,2,FALSE))),RAND()),0)</f>
        <v/>
      </c>
      <c r="K25">
        <f>IFERROR(_xlfn.BINOM.INV(MAX(0,pca!J25),MAX(0,MIN(1,VLOOKUP(10,h_nat_tbl,2,FALSE))),RAND()),0)</f>
        <v/>
      </c>
    </row>
    <row r="26">
      <c r="A26" t="n">
        <v>24</v>
      </c>
      <c r="B26">
        <f>IFERROR(_xlfn.BINOM.INV(MAX(0,SUM(urodz_ch!C26:K26)),MAX(0,MIN(1,VLOOKUP(1,h_nat_tbl,2,FALSE))),RAND()),0)</f>
        <v/>
      </c>
      <c r="C26">
        <f>IFERROR(_xlfn.BINOM.INV(MAX(0,pca!B26),MAX(0,MIN(1,VLOOKUP(2,h_nat_tbl,2,FALSE))),RAND()),0)</f>
        <v/>
      </c>
      <c r="D26">
        <f>IFERROR(_xlfn.BINOM.INV(MAX(0,pca!C26),MAX(0,MIN(1,VLOOKUP(3,h_nat_tbl,2,FALSE))),RAND()),0)</f>
        <v/>
      </c>
      <c r="E26">
        <f>IFERROR(_xlfn.BINOM.INV(MAX(0,pca!D26),MAX(0,MIN(1,VLOOKUP(4,h_nat_tbl,2,FALSE))),RAND()),0)</f>
        <v/>
      </c>
      <c r="F26">
        <f>IFERROR(_xlfn.BINOM.INV(MAX(0,pca!E26),MAX(0,MIN(1,VLOOKUP(5,h_nat_tbl,2,FALSE))),RAND()),0)</f>
        <v/>
      </c>
      <c r="G26">
        <f>IFERROR(_xlfn.BINOM.INV(MAX(0,pca!F26),MAX(0,MIN(1,VLOOKUP(6,h_nat_tbl,2,FALSE))),RAND()),0)</f>
        <v/>
      </c>
      <c r="H26">
        <f>IFERROR(_xlfn.BINOM.INV(MAX(0,pca!G26),MAX(0,MIN(1,VLOOKUP(7,h_nat_tbl,2,FALSE))),RAND()),0)</f>
        <v/>
      </c>
      <c r="I26">
        <f>IFERROR(_xlfn.BINOM.INV(MAX(0,pca!H26),MAX(0,MIN(1,VLOOKUP(8,h_nat_tbl,2,FALSE))),RAND()),0)</f>
        <v/>
      </c>
      <c r="J26">
        <f>IFERROR(_xlfn.BINOM.INV(MAX(0,pca!I26),MAX(0,MIN(1,VLOOKUP(9,h_nat_tbl,2,FALSE))),RAND()),0)</f>
        <v/>
      </c>
      <c r="K26">
        <f>IFERROR(_xlfn.BINOM.INV(MAX(0,pca!J26),MAX(0,MIN(1,VLOOKUP(10,h_nat_tbl,2,FALSE))),RAND()),0)</f>
        <v/>
      </c>
    </row>
    <row r="27">
      <c r="A27" t="n">
        <v>25</v>
      </c>
      <c r="B27">
        <f>IFERROR(_xlfn.BINOM.INV(MAX(0,SUM(urodz_ch!C27:K27)),MAX(0,MIN(1,VLOOKUP(1,h_nat_tbl,2,FALSE))),RAND()),0)</f>
        <v/>
      </c>
      <c r="C27">
        <f>IFERROR(_xlfn.BINOM.INV(MAX(0,pca!B27),MAX(0,MIN(1,VLOOKUP(2,h_nat_tbl,2,FALSE))),RAND()),0)</f>
        <v/>
      </c>
      <c r="D27">
        <f>IFERROR(_xlfn.BINOM.INV(MAX(0,pca!C27),MAX(0,MIN(1,VLOOKUP(3,h_nat_tbl,2,FALSE))),RAND()),0)</f>
        <v/>
      </c>
      <c r="E27">
        <f>IFERROR(_xlfn.BINOM.INV(MAX(0,pca!D27),MAX(0,MIN(1,VLOOKUP(4,h_nat_tbl,2,FALSE))),RAND()),0)</f>
        <v/>
      </c>
      <c r="F27">
        <f>IFERROR(_xlfn.BINOM.INV(MAX(0,pca!E27),MAX(0,MIN(1,VLOOKUP(5,h_nat_tbl,2,FALSE))),RAND()),0)</f>
        <v/>
      </c>
      <c r="G27">
        <f>IFERROR(_xlfn.BINOM.INV(MAX(0,pca!F27),MAX(0,MIN(1,VLOOKUP(6,h_nat_tbl,2,FALSE))),RAND()),0)</f>
        <v/>
      </c>
      <c r="H27">
        <f>IFERROR(_xlfn.BINOM.INV(MAX(0,pca!G27),MAX(0,MIN(1,VLOOKUP(7,h_nat_tbl,2,FALSE))),RAND()),0)</f>
        <v/>
      </c>
      <c r="I27">
        <f>IFERROR(_xlfn.BINOM.INV(MAX(0,pca!H27),MAX(0,MIN(1,VLOOKUP(8,h_nat_tbl,2,FALSE))),RAND()),0)</f>
        <v/>
      </c>
      <c r="J27">
        <f>IFERROR(_xlfn.BINOM.INV(MAX(0,pca!I27),MAX(0,MIN(1,VLOOKUP(9,h_nat_tbl,2,FALSE))),RAND()),0)</f>
        <v/>
      </c>
      <c r="K27">
        <f>IFERROR(_xlfn.BINOM.INV(MAX(0,pca!J27),MAX(0,MIN(1,VLOOKUP(10,h_nat_tbl,2,FALSE))),RAND()),0)</f>
        <v/>
      </c>
    </row>
    <row r="28">
      <c r="A28" t="n">
        <v>26</v>
      </c>
      <c r="B28">
        <f>IFERROR(_xlfn.BINOM.INV(MAX(0,SUM(urodz_ch!C28:K28)),MAX(0,MIN(1,VLOOKUP(1,h_nat_tbl,2,FALSE))),RAND()),0)</f>
        <v/>
      </c>
      <c r="C28">
        <f>IFERROR(_xlfn.BINOM.INV(MAX(0,pca!B28),MAX(0,MIN(1,VLOOKUP(2,h_nat_tbl,2,FALSE))),RAND()),0)</f>
        <v/>
      </c>
      <c r="D28">
        <f>IFERROR(_xlfn.BINOM.INV(MAX(0,pca!C28),MAX(0,MIN(1,VLOOKUP(3,h_nat_tbl,2,FALSE))),RAND()),0)</f>
        <v/>
      </c>
      <c r="E28">
        <f>IFERROR(_xlfn.BINOM.INV(MAX(0,pca!D28),MAX(0,MIN(1,VLOOKUP(4,h_nat_tbl,2,FALSE))),RAND()),0)</f>
        <v/>
      </c>
      <c r="F28">
        <f>IFERROR(_xlfn.BINOM.INV(MAX(0,pca!E28),MAX(0,MIN(1,VLOOKUP(5,h_nat_tbl,2,FALSE))),RAND()),0)</f>
        <v/>
      </c>
      <c r="G28">
        <f>IFERROR(_xlfn.BINOM.INV(MAX(0,pca!F28),MAX(0,MIN(1,VLOOKUP(6,h_nat_tbl,2,FALSE))),RAND()),0)</f>
        <v/>
      </c>
      <c r="H28">
        <f>IFERROR(_xlfn.BINOM.INV(MAX(0,pca!G28),MAX(0,MIN(1,VLOOKUP(7,h_nat_tbl,2,FALSE))),RAND()),0)</f>
        <v/>
      </c>
      <c r="I28">
        <f>IFERROR(_xlfn.BINOM.INV(MAX(0,pca!H28),MAX(0,MIN(1,VLOOKUP(8,h_nat_tbl,2,FALSE))),RAND()),0)</f>
        <v/>
      </c>
      <c r="J28">
        <f>IFERROR(_xlfn.BINOM.INV(MAX(0,pca!I28),MAX(0,MIN(1,VLOOKUP(9,h_nat_tbl,2,FALSE))),RAND()),0)</f>
        <v/>
      </c>
      <c r="K28">
        <f>IFERROR(_xlfn.BINOM.INV(MAX(0,pca!J28),MAX(0,MIN(1,VLOOKUP(10,h_nat_tbl,2,FALSE))),RAND()),0)</f>
        <v/>
      </c>
    </row>
    <row r="29">
      <c r="A29" t="n">
        <v>27</v>
      </c>
      <c r="B29">
        <f>IFERROR(_xlfn.BINOM.INV(MAX(0,SUM(urodz_ch!C29:K29)),MAX(0,MIN(1,VLOOKUP(1,h_nat_tbl,2,FALSE))),RAND()),0)</f>
        <v/>
      </c>
      <c r="C29">
        <f>IFERROR(_xlfn.BINOM.INV(MAX(0,pca!B29),MAX(0,MIN(1,VLOOKUP(2,h_nat_tbl,2,FALSE))),RAND()),0)</f>
        <v/>
      </c>
      <c r="D29">
        <f>IFERROR(_xlfn.BINOM.INV(MAX(0,pca!C29),MAX(0,MIN(1,VLOOKUP(3,h_nat_tbl,2,FALSE))),RAND()),0)</f>
        <v/>
      </c>
      <c r="E29">
        <f>IFERROR(_xlfn.BINOM.INV(MAX(0,pca!D29),MAX(0,MIN(1,VLOOKUP(4,h_nat_tbl,2,FALSE))),RAND()),0)</f>
        <v/>
      </c>
      <c r="F29">
        <f>IFERROR(_xlfn.BINOM.INV(MAX(0,pca!E29),MAX(0,MIN(1,VLOOKUP(5,h_nat_tbl,2,FALSE))),RAND()),0)</f>
        <v/>
      </c>
      <c r="G29">
        <f>IFERROR(_xlfn.BINOM.INV(MAX(0,pca!F29),MAX(0,MIN(1,VLOOKUP(6,h_nat_tbl,2,FALSE))),RAND()),0)</f>
        <v/>
      </c>
      <c r="H29">
        <f>IFERROR(_xlfn.BINOM.INV(MAX(0,pca!G29),MAX(0,MIN(1,VLOOKUP(7,h_nat_tbl,2,FALSE))),RAND()),0)</f>
        <v/>
      </c>
      <c r="I29">
        <f>IFERROR(_xlfn.BINOM.INV(MAX(0,pca!H29),MAX(0,MIN(1,VLOOKUP(8,h_nat_tbl,2,FALSE))),RAND()),0)</f>
        <v/>
      </c>
      <c r="J29">
        <f>IFERROR(_xlfn.BINOM.INV(MAX(0,pca!I29),MAX(0,MIN(1,VLOOKUP(9,h_nat_tbl,2,FALSE))),RAND()),0)</f>
        <v/>
      </c>
      <c r="K29">
        <f>IFERROR(_xlfn.BINOM.INV(MAX(0,pca!J29),MAX(0,MIN(1,VLOOKUP(10,h_nat_tbl,2,FALSE))),RAND()),0)</f>
        <v/>
      </c>
    </row>
    <row r="30">
      <c r="A30" t="n">
        <v>28</v>
      </c>
      <c r="B30">
        <f>IFERROR(_xlfn.BINOM.INV(MAX(0,SUM(urodz_ch!C30:K30)),MAX(0,MIN(1,VLOOKUP(1,h_nat_tbl,2,FALSE))),RAND()),0)</f>
        <v/>
      </c>
      <c r="C30">
        <f>IFERROR(_xlfn.BINOM.INV(MAX(0,pca!B30),MAX(0,MIN(1,VLOOKUP(2,h_nat_tbl,2,FALSE))),RAND()),0)</f>
        <v/>
      </c>
      <c r="D30">
        <f>IFERROR(_xlfn.BINOM.INV(MAX(0,pca!C30),MAX(0,MIN(1,VLOOKUP(3,h_nat_tbl,2,FALSE))),RAND()),0)</f>
        <v/>
      </c>
      <c r="E30">
        <f>IFERROR(_xlfn.BINOM.INV(MAX(0,pca!D30),MAX(0,MIN(1,VLOOKUP(4,h_nat_tbl,2,FALSE))),RAND()),0)</f>
        <v/>
      </c>
      <c r="F30">
        <f>IFERROR(_xlfn.BINOM.INV(MAX(0,pca!E30),MAX(0,MIN(1,VLOOKUP(5,h_nat_tbl,2,FALSE))),RAND()),0)</f>
        <v/>
      </c>
      <c r="G30">
        <f>IFERROR(_xlfn.BINOM.INV(MAX(0,pca!F30),MAX(0,MIN(1,VLOOKUP(6,h_nat_tbl,2,FALSE))),RAND()),0)</f>
        <v/>
      </c>
      <c r="H30">
        <f>IFERROR(_xlfn.BINOM.INV(MAX(0,pca!G30),MAX(0,MIN(1,VLOOKUP(7,h_nat_tbl,2,FALSE))),RAND()),0)</f>
        <v/>
      </c>
      <c r="I30">
        <f>IFERROR(_xlfn.BINOM.INV(MAX(0,pca!H30),MAX(0,MIN(1,VLOOKUP(8,h_nat_tbl,2,FALSE))),RAND()),0)</f>
        <v/>
      </c>
      <c r="J30">
        <f>IFERROR(_xlfn.BINOM.INV(MAX(0,pca!I30),MAX(0,MIN(1,VLOOKUP(9,h_nat_tbl,2,FALSE))),RAND()),0)</f>
        <v/>
      </c>
      <c r="K30">
        <f>IFERROR(_xlfn.BINOM.INV(MAX(0,pca!J30),MAX(0,MIN(1,VLOOKUP(10,h_nat_tbl,2,FALSE))),RAND()),0)</f>
        <v/>
      </c>
    </row>
    <row r="31">
      <c r="A31" t="n">
        <v>29</v>
      </c>
      <c r="B31">
        <f>IFERROR(_xlfn.BINOM.INV(MAX(0,SUM(urodz_ch!C31:K31)),MAX(0,MIN(1,VLOOKUP(1,h_nat_tbl,2,FALSE))),RAND()),0)</f>
        <v/>
      </c>
      <c r="C31">
        <f>IFERROR(_xlfn.BINOM.INV(MAX(0,pca!B31),MAX(0,MIN(1,VLOOKUP(2,h_nat_tbl,2,FALSE))),RAND()),0)</f>
        <v/>
      </c>
      <c r="D31">
        <f>IFERROR(_xlfn.BINOM.INV(MAX(0,pca!C31),MAX(0,MIN(1,VLOOKUP(3,h_nat_tbl,2,FALSE))),RAND()),0)</f>
        <v/>
      </c>
      <c r="E31">
        <f>IFERROR(_xlfn.BINOM.INV(MAX(0,pca!D31),MAX(0,MIN(1,VLOOKUP(4,h_nat_tbl,2,FALSE))),RAND()),0)</f>
        <v/>
      </c>
      <c r="F31">
        <f>IFERROR(_xlfn.BINOM.INV(MAX(0,pca!E31),MAX(0,MIN(1,VLOOKUP(5,h_nat_tbl,2,FALSE))),RAND()),0)</f>
        <v/>
      </c>
      <c r="G31">
        <f>IFERROR(_xlfn.BINOM.INV(MAX(0,pca!F31),MAX(0,MIN(1,VLOOKUP(6,h_nat_tbl,2,FALSE))),RAND()),0)</f>
        <v/>
      </c>
      <c r="H31">
        <f>IFERROR(_xlfn.BINOM.INV(MAX(0,pca!G31),MAX(0,MIN(1,VLOOKUP(7,h_nat_tbl,2,FALSE))),RAND()),0)</f>
        <v/>
      </c>
      <c r="I31">
        <f>IFERROR(_xlfn.BINOM.INV(MAX(0,pca!H31),MAX(0,MIN(1,VLOOKUP(8,h_nat_tbl,2,FALSE))),RAND()),0)</f>
        <v/>
      </c>
      <c r="J31">
        <f>IFERROR(_xlfn.BINOM.INV(MAX(0,pca!I31),MAX(0,MIN(1,VLOOKUP(9,h_nat_tbl,2,FALSE))),RAND()),0)</f>
        <v/>
      </c>
      <c r="K31">
        <f>IFERROR(_xlfn.BINOM.INV(MAX(0,pca!J31),MAX(0,MIN(1,VLOOKUP(10,h_nat_tbl,2,FALSE))),RAND()),0)</f>
        <v/>
      </c>
    </row>
    <row r="32">
      <c r="A32" t="n">
        <v>30</v>
      </c>
      <c r="B32">
        <f>IFERROR(_xlfn.BINOM.INV(MAX(0,SUM(urodz_ch!C32:K32)),MAX(0,MIN(1,VLOOKUP(1,h_nat_tbl,2,FALSE))),RAND()),0)</f>
        <v/>
      </c>
      <c r="C32">
        <f>IFERROR(_xlfn.BINOM.INV(MAX(0,pca!B32),MAX(0,MIN(1,VLOOKUP(2,h_nat_tbl,2,FALSE))),RAND()),0)</f>
        <v/>
      </c>
      <c r="D32">
        <f>IFERROR(_xlfn.BINOM.INV(MAX(0,pca!C32),MAX(0,MIN(1,VLOOKUP(3,h_nat_tbl,2,FALSE))),RAND()),0)</f>
        <v/>
      </c>
      <c r="E32">
        <f>IFERROR(_xlfn.BINOM.INV(MAX(0,pca!D32),MAX(0,MIN(1,VLOOKUP(4,h_nat_tbl,2,FALSE))),RAND()),0)</f>
        <v/>
      </c>
      <c r="F32">
        <f>IFERROR(_xlfn.BINOM.INV(MAX(0,pca!E32),MAX(0,MIN(1,VLOOKUP(5,h_nat_tbl,2,FALSE))),RAND()),0)</f>
        <v/>
      </c>
      <c r="G32">
        <f>IFERROR(_xlfn.BINOM.INV(MAX(0,pca!F32),MAX(0,MIN(1,VLOOKUP(6,h_nat_tbl,2,FALSE))),RAND()),0)</f>
        <v/>
      </c>
      <c r="H32">
        <f>IFERROR(_xlfn.BINOM.INV(MAX(0,pca!G32),MAX(0,MIN(1,VLOOKUP(7,h_nat_tbl,2,FALSE))),RAND()),0)</f>
        <v/>
      </c>
      <c r="I32">
        <f>IFERROR(_xlfn.BINOM.INV(MAX(0,pca!H32),MAX(0,MIN(1,VLOOKUP(8,h_nat_tbl,2,FALSE))),RAND()),0)</f>
        <v/>
      </c>
      <c r="J32">
        <f>IFERROR(_xlfn.BINOM.INV(MAX(0,pca!I32),MAX(0,MIN(1,VLOOKUP(9,h_nat_tbl,2,FALSE))),RAND()),0)</f>
        <v/>
      </c>
      <c r="K32">
        <f>IFERROR(_xlfn.BINOM.INV(MAX(0,pca!J32),MAX(0,MIN(1,VLOOKUP(10,h_nat_tbl,2,FALSE))),RAND()),0)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t \ a</t>
        </is>
      </c>
      <c r="B1" s="1" t="inlineStr">
        <is>
          <t>a=1</t>
        </is>
      </c>
      <c r="C1" s="1" t="inlineStr">
        <is>
          <t>a=2</t>
        </is>
      </c>
      <c r="D1" s="1" t="inlineStr">
        <is>
          <t>a=3</t>
        </is>
      </c>
      <c r="E1" s="1" t="inlineStr">
        <is>
          <t>a=4</t>
        </is>
      </c>
      <c r="F1" s="1" t="inlineStr">
        <is>
          <t>a=5</t>
        </is>
      </c>
      <c r="G1" s="1" t="inlineStr">
        <is>
          <t>a=6</t>
        </is>
      </c>
      <c r="H1" s="1" t="inlineStr">
        <is>
          <t>a=7</t>
        </is>
      </c>
      <c r="I1" s="1" t="inlineStr">
        <is>
          <t>a=8</t>
        </is>
      </c>
      <c r="J1" s="1" t="inlineStr">
        <is>
          <t>a=9</t>
        </is>
      </c>
      <c r="K1" s="1" t="inlineStr">
        <is>
          <t>a=10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>
        <f>IFERROR(_xlfn.BINOM.INV(MAX(0,0),MAX(0,MIN(1,VLOOKUP(1,h_nat_tbl,2,FALSE))),RAND()),0)</f>
        <v/>
      </c>
      <c r="C3">
        <f>IFERROR(_xlfn.BINOM.INV(MAX(0,ca!B2),MAX(0,MIN(1,VLOOKUP(2,h_nat_tbl,2,FALSE))),RAND()),0)</f>
        <v/>
      </c>
      <c r="D3">
        <f>IFERROR(_xlfn.BINOM.INV(MAX(0,ca!C2),MAX(0,MIN(1,VLOOKUP(3,h_nat_tbl,2,FALSE))),RAND()),0)</f>
        <v/>
      </c>
      <c r="E3">
        <f>IFERROR(_xlfn.BINOM.INV(MAX(0,ca!D2),MAX(0,MIN(1,VLOOKUP(4,h_nat_tbl,2,FALSE))),RAND()),0)</f>
        <v/>
      </c>
      <c r="F3">
        <f>IFERROR(_xlfn.BINOM.INV(MAX(0,ca!E2),MAX(0,MIN(1,VLOOKUP(5,h_nat_tbl,2,FALSE))),RAND()),0)</f>
        <v/>
      </c>
      <c r="G3">
        <f>IFERROR(_xlfn.BINOM.INV(MAX(0,ca!F2),MAX(0,MIN(1,VLOOKUP(6,h_nat_tbl,2,FALSE))),RAND()),0)</f>
        <v/>
      </c>
      <c r="H3">
        <f>IFERROR(_xlfn.BINOM.INV(MAX(0,ca!G2),MAX(0,MIN(1,VLOOKUP(7,h_nat_tbl,2,FALSE))),RAND()),0)</f>
        <v/>
      </c>
      <c r="I3">
        <f>IFERROR(_xlfn.BINOM.INV(MAX(0,ca!H2),MAX(0,MIN(1,VLOOKUP(8,h_nat_tbl,2,FALSE))),RAND()),0)</f>
        <v/>
      </c>
      <c r="J3">
        <f>IFERROR(_xlfn.BINOM.INV(MAX(0,ca!I2),MAX(0,MIN(1,VLOOKUP(9,h_nat_tbl,2,FALSE))),RAND()),0)</f>
        <v/>
      </c>
      <c r="K3">
        <f>IFERROR(_xlfn.BINOM.INV(MAX(0,ca!J2),MAX(0,MIN(1,VLOOKUP(10,h_nat_tbl,2,FALSE))),RAND()),0)</f>
        <v/>
      </c>
    </row>
    <row r="4">
      <c r="A4" t="n">
        <v>2</v>
      </c>
      <c r="B4">
        <f>IFERROR(_xlfn.BINOM.INV(MAX(0,0),MAX(0,MIN(1,VLOOKUP(1,h_nat_tbl,2,FALSE))),RAND()),0)</f>
        <v/>
      </c>
      <c r="C4">
        <f>IFERROR(_xlfn.BINOM.INV(MAX(0,ca!B3),MAX(0,MIN(1,VLOOKUP(2,h_nat_tbl,2,FALSE))),RAND()),0)</f>
        <v/>
      </c>
      <c r="D4">
        <f>IFERROR(_xlfn.BINOM.INV(MAX(0,ca!C3),MAX(0,MIN(1,VLOOKUP(3,h_nat_tbl,2,FALSE))),RAND()),0)</f>
        <v/>
      </c>
      <c r="E4">
        <f>IFERROR(_xlfn.BINOM.INV(MAX(0,ca!D3),MAX(0,MIN(1,VLOOKUP(4,h_nat_tbl,2,FALSE))),RAND()),0)</f>
        <v/>
      </c>
      <c r="F4">
        <f>IFERROR(_xlfn.BINOM.INV(MAX(0,ca!E3),MAX(0,MIN(1,VLOOKUP(5,h_nat_tbl,2,FALSE))),RAND()),0)</f>
        <v/>
      </c>
      <c r="G4">
        <f>IFERROR(_xlfn.BINOM.INV(MAX(0,ca!F3),MAX(0,MIN(1,VLOOKUP(6,h_nat_tbl,2,FALSE))),RAND()),0)</f>
        <v/>
      </c>
      <c r="H4">
        <f>IFERROR(_xlfn.BINOM.INV(MAX(0,ca!G3),MAX(0,MIN(1,VLOOKUP(7,h_nat_tbl,2,FALSE))),RAND()),0)</f>
        <v/>
      </c>
      <c r="I4">
        <f>IFERROR(_xlfn.BINOM.INV(MAX(0,ca!H3),MAX(0,MIN(1,VLOOKUP(8,h_nat_tbl,2,FALSE))),RAND()),0)</f>
        <v/>
      </c>
      <c r="J4">
        <f>IFERROR(_xlfn.BINOM.INV(MAX(0,ca!I3),MAX(0,MIN(1,VLOOKUP(9,h_nat_tbl,2,FALSE))),RAND()),0)</f>
        <v/>
      </c>
      <c r="K4">
        <f>IFERROR(_xlfn.BINOM.INV(MAX(0,ca!J3),MAX(0,MIN(1,VLOOKUP(10,h_nat_tbl,2,FALSE))),RAND()),0)</f>
        <v/>
      </c>
    </row>
    <row r="5">
      <c r="A5" t="n">
        <v>3</v>
      </c>
      <c r="B5">
        <f>IFERROR(_xlfn.BINOM.INV(MAX(0,0),MAX(0,MIN(1,VLOOKUP(1,h_nat_tbl,2,FALSE))),RAND()),0)</f>
        <v/>
      </c>
      <c r="C5">
        <f>IFERROR(_xlfn.BINOM.INV(MAX(0,ca!B4),MAX(0,MIN(1,VLOOKUP(2,h_nat_tbl,2,FALSE))),RAND()),0)</f>
        <v/>
      </c>
      <c r="D5">
        <f>IFERROR(_xlfn.BINOM.INV(MAX(0,ca!C4),MAX(0,MIN(1,VLOOKUP(3,h_nat_tbl,2,FALSE))),RAND()),0)</f>
        <v/>
      </c>
      <c r="E5">
        <f>IFERROR(_xlfn.BINOM.INV(MAX(0,ca!D4),MAX(0,MIN(1,VLOOKUP(4,h_nat_tbl,2,FALSE))),RAND()),0)</f>
        <v/>
      </c>
      <c r="F5">
        <f>IFERROR(_xlfn.BINOM.INV(MAX(0,ca!E4),MAX(0,MIN(1,VLOOKUP(5,h_nat_tbl,2,FALSE))),RAND()),0)</f>
        <v/>
      </c>
      <c r="G5">
        <f>IFERROR(_xlfn.BINOM.INV(MAX(0,ca!F4),MAX(0,MIN(1,VLOOKUP(6,h_nat_tbl,2,FALSE))),RAND()),0)</f>
        <v/>
      </c>
      <c r="H5">
        <f>IFERROR(_xlfn.BINOM.INV(MAX(0,ca!G4),MAX(0,MIN(1,VLOOKUP(7,h_nat_tbl,2,FALSE))),RAND()),0)</f>
        <v/>
      </c>
      <c r="I5">
        <f>IFERROR(_xlfn.BINOM.INV(MAX(0,ca!H4),MAX(0,MIN(1,VLOOKUP(8,h_nat_tbl,2,FALSE))),RAND()),0)</f>
        <v/>
      </c>
      <c r="J5">
        <f>IFERROR(_xlfn.BINOM.INV(MAX(0,ca!I4),MAX(0,MIN(1,VLOOKUP(9,h_nat_tbl,2,FALSE))),RAND()),0)</f>
        <v/>
      </c>
      <c r="K5">
        <f>IFERROR(_xlfn.BINOM.INV(MAX(0,ca!J4),MAX(0,MIN(1,VLOOKUP(10,h_nat_tbl,2,FALSE))),RAND()),0)</f>
        <v/>
      </c>
    </row>
    <row r="6">
      <c r="A6" t="n">
        <v>4</v>
      </c>
      <c r="B6">
        <f>IFERROR(_xlfn.BINOM.INV(MAX(0,0),MAX(0,MIN(1,VLOOKUP(1,h_nat_tbl,2,FALSE))),RAND()),0)</f>
        <v/>
      </c>
      <c r="C6">
        <f>IFERROR(_xlfn.BINOM.INV(MAX(0,ca!B5),MAX(0,MIN(1,VLOOKUP(2,h_nat_tbl,2,FALSE))),RAND()),0)</f>
        <v/>
      </c>
      <c r="D6">
        <f>IFERROR(_xlfn.BINOM.INV(MAX(0,ca!C5),MAX(0,MIN(1,VLOOKUP(3,h_nat_tbl,2,FALSE))),RAND()),0)</f>
        <v/>
      </c>
      <c r="E6">
        <f>IFERROR(_xlfn.BINOM.INV(MAX(0,ca!D5),MAX(0,MIN(1,VLOOKUP(4,h_nat_tbl,2,FALSE))),RAND()),0)</f>
        <v/>
      </c>
      <c r="F6">
        <f>IFERROR(_xlfn.BINOM.INV(MAX(0,ca!E5),MAX(0,MIN(1,VLOOKUP(5,h_nat_tbl,2,FALSE))),RAND()),0)</f>
        <v/>
      </c>
      <c r="G6">
        <f>IFERROR(_xlfn.BINOM.INV(MAX(0,ca!F5),MAX(0,MIN(1,VLOOKUP(6,h_nat_tbl,2,FALSE))),RAND()),0)</f>
        <v/>
      </c>
      <c r="H6">
        <f>IFERROR(_xlfn.BINOM.INV(MAX(0,ca!G5),MAX(0,MIN(1,VLOOKUP(7,h_nat_tbl,2,FALSE))),RAND()),0)</f>
        <v/>
      </c>
      <c r="I6">
        <f>IFERROR(_xlfn.BINOM.INV(MAX(0,ca!H5),MAX(0,MIN(1,VLOOKUP(8,h_nat_tbl,2,FALSE))),RAND()),0)</f>
        <v/>
      </c>
      <c r="J6">
        <f>IFERROR(_xlfn.BINOM.INV(MAX(0,ca!I5),MAX(0,MIN(1,VLOOKUP(9,h_nat_tbl,2,FALSE))),RAND()),0)</f>
        <v/>
      </c>
      <c r="K6">
        <f>IFERROR(_xlfn.BINOM.INV(MAX(0,ca!J5),MAX(0,MIN(1,VLOOKUP(10,h_nat_tbl,2,FALSE))),RAND()),0)</f>
        <v/>
      </c>
    </row>
    <row r="7">
      <c r="A7" t="n">
        <v>5</v>
      </c>
      <c r="B7">
        <f>IFERROR(_xlfn.BINOM.INV(MAX(0,0),MAX(0,MIN(1,VLOOKUP(1,h_nat_tbl,2,FALSE))),RAND()),0)</f>
        <v/>
      </c>
      <c r="C7">
        <f>IFERROR(_xlfn.BINOM.INV(MAX(0,ca!B6),MAX(0,MIN(1,VLOOKUP(2,h_nat_tbl,2,FALSE))),RAND()),0)</f>
        <v/>
      </c>
      <c r="D7">
        <f>IFERROR(_xlfn.BINOM.INV(MAX(0,ca!C6),MAX(0,MIN(1,VLOOKUP(3,h_nat_tbl,2,FALSE))),RAND()),0)</f>
        <v/>
      </c>
      <c r="E7">
        <f>IFERROR(_xlfn.BINOM.INV(MAX(0,ca!D6),MAX(0,MIN(1,VLOOKUP(4,h_nat_tbl,2,FALSE))),RAND()),0)</f>
        <v/>
      </c>
      <c r="F7">
        <f>IFERROR(_xlfn.BINOM.INV(MAX(0,ca!E6),MAX(0,MIN(1,VLOOKUP(5,h_nat_tbl,2,FALSE))),RAND()),0)</f>
        <v/>
      </c>
      <c r="G7">
        <f>IFERROR(_xlfn.BINOM.INV(MAX(0,ca!F6),MAX(0,MIN(1,VLOOKUP(6,h_nat_tbl,2,FALSE))),RAND()),0)</f>
        <v/>
      </c>
      <c r="H7">
        <f>IFERROR(_xlfn.BINOM.INV(MAX(0,ca!G6),MAX(0,MIN(1,VLOOKUP(7,h_nat_tbl,2,FALSE))),RAND()),0)</f>
        <v/>
      </c>
      <c r="I7">
        <f>IFERROR(_xlfn.BINOM.INV(MAX(0,ca!H6),MAX(0,MIN(1,VLOOKUP(8,h_nat_tbl,2,FALSE))),RAND()),0)</f>
        <v/>
      </c>
      <c r="J7">
        <f>IFERROR(_xlfn.BINOM.INV(MAX(0,ca!I6),MAX(0,MIN(1,VLOOKUP(9,h_nat_tbl,2,FALSE))),RAND()),0)</f>
        <v/>
      </c>
      <c r="K7">
        <f>IFERROR(_xlfn.BINOM.INV(MAX(0,ca!J6),MAX(0,MIN(1,VLOOKUP(10,h_nat_tbl,2,FALSE))),RAND()),0)</f>
        <v/>
      </c>
    </row>
    <row r="8">
      <c r="A8" t="n">
        <v>6</v>
      </c>
      <c r="B8">
        <f>IFERROR(_xlfn.BINOM.INV(MAX(0,0),MAX(0,MIN(1,VLOOKUP(1,h_nat_tbl,2,FALSE))),RAND()),0)</f>
        <v/>
      </c>
      <c r="C8">
        <f>IFERROR(_xlfn.BINOM.INV(MAX(0,ca!B7),MAX(0,MIN(1,VLOOKUP(2,h_nat_tbl,2,FALSE))),RAND()),0)</f>
        <v/>
      </c>
      <c r="D8">
        <f>IFERROR(_xlfn.BINOM.INV(MAX(0,ca!C7),MAX(0,MIN(1,VLOOKUP(3,h_nat_tbl,2,FALSE))),RAND()),0)</f>
        <v/>
      </c>
      <c r="E8">
        <f>IFERROR(_xlfn.BINOM.INV(MAX(0,ca!D7),MAX(0,MIN(1,VLOOKUP(4,h_nat_tbl,2,FALSE))),RAND()),0)</f>
        <v/>
      </c>
      <c r="F8">
        <f>IFERROR(_xlfn.BINOM.INV(MAX(0,ca!E7),MAX(0,MIN(1,VLOOKUP(5,h_nat_tbl,2,FALSE))),RAND()),0)</f>
        <v/>
      </c>
      <c r="G8">
        <f>IFERROR(_xlfn.BINOM.INV(MAX(0,ca!F7),MAX(0,MIN(1,VLOOKUP(6,h_nat_tbl,2,FALSE))),RAND()),0)</f>
        <v/>
      </c>
      <c r="H8">
        <f>IFERROR(_xlfn.BINOM.INV(MAX(0,ca!G7),MAX(0,MIN(1,VLOOKUP(7,h_nat_tbl,2,FALSE))),RAND()),0)</f>
        <v/>
      </c>
      <c r="I8">
        <f>IFERROR(_xlfn.BINOM.INV(MAX(0,ca!H7),MAX(0,MIN(1,VLOOKUP(8,h_nat_tbl,2,FALSE))),RAND()),0)</f>
        <v/>
      </c>
      <c r="J8">
        <f>IFERROR(_xlfn.BINOM.INV(MAX(0,ca!I7),MAX(0,MIN(1,VLOOKUP(9,h_nat_tbl,2,FALSE))),RAND()),0)</f>
        <v/>
      </c>
      <c r="K8">
        <f>IFERROR(_xlfn.BINOM.INV(MAX(0,ca!J7),MAX(0,MIN(1,VLOOKUP(10,h_nat_tbl,2,FALSE))),RAND()),0)</f>
        <v/>
      </c>
    </row>
    <row r="9">
      <c r="A9" t="n">
        <v>7</v>
      </c>
      <c r="B9">
        <f>IFERROR(_xlfn.BINOM.INV(MAX(0,0),MAX(0,MIN(1,VLOOKUP(1,h_nat_tbl,2,FALSE))),RAND()),0)</f>
        <v/>
      </c>
      <c r="C9">
        <f>IFERROR(_xlfn.BINOM.INV(MAX(0,ca!B8),MAX(0,MIN(1,VLOOKUP(2,h_nat_tbl,2,FALSE))),RAND()),0)</f>
        <v/>
      </c>
      <c r="D9">
        <f>IFERROR(_xlfn.BINOM.INV(MAX(0,ca!C8),MAX(0,MIN(1,VLOOKUP(3,h_nat_tbl,2,FALSE))),RAND()),0)</f>
        <v/>
      </c>
      <c r="E9">
        <f>IFERROR(_xlfn.BINOM.INV(MAX(0,ca!D8),MAX(0,MIN(1,VLOOKUP(4,h_nat_tbl,2,FALSE))),RAND()),0)</f>
        <v/>
      </c>
      <c r="F9">
        <f>IFERROR(_xlfn.BINOM.INV(MAX(0,ca!E8),MAX(0,MIN(1,VLOOKUP(5,h_nat_tbl,2,FALSE))),RAND()),0)</f>
        <v/>
      </c>
      <c r="G9">
        <f>IFERROR(_xlfn.BINOM.INV(MAX(0,ca!F8),MAX(0,MIN(1,VLOOKUP(6,h_nat_tbl,2,FALSE))),RAND()),0)</f>
        <v/>
      </c>
      <c r="H9">
        <f>IFERROR(_xlfn.BINOM.INV(MAX(0,ca!G8),MAX(0,MIN(1,VLOOKUP(7,h_nat_tbl,2,FALSE))),RAND()),0)</f>
        <v/>
      </c>
      <c r="I9">
        <f>IFERROR(_xlfn.BINOM.INV(MAX(0,ca!H8),MAX(0,MIN(1,VLOOKUP(8,h_nat_tbl,2,FALSE))),RAND()),0)</f>
        <v/>
      </c>
      <c r="J9">
        <f>IFERROR(_xlfn.BINOM.INV(MAX(0,ca!I8),MAX(0,MIN(1,VLOOKUP(9,h_nat_tbl,2,FALSE))),RAND()),0)</f>
        <v/>
      </c>
      <c r="K9">
        <f>IFERROR(_xlfn.BINOM.INV(MAX(0,ca!J8),MAX(0,MIN(1,VLOOKUP(10,h_nat_tbl,2,FALSE))),RAND()),0)</f>
        <v/>
      </c>
    </row>
    <row r="10">
      <c r="A10" t="n">
        <v>8</v>
      </c>
      <c r="B10">
        <f>IFERROR(_xlfn.BINOM.INV(MAX(0,0),MAX(0,MIN(1,VLOOKUP(1,h_nat_tbl,2,FALSE))),RAND()),0)</f>
        <v/>
      </c>
      <c r="C10">
        <f>IFERROR(_xlfn.BINOM.INV(MAX(0,ca!B9),MAX(0,MIN(1,VLOOKUP(2,h_nat_tbl,2,FALSE))),RAND()),0)</f>
        <v/>
      </c>
      <c r="D10">
        <f>IFERROR(_xlfn.BINOM.INV(MAX(0,ca!C9),MAX(0,MIN(1,VLOOKUP(3,h_nat_tbl,2,FALSE))),RAND()),0)</f>
        <v/>
      </c>
      <c r="E10">
        <f>IFERROR(_xlfn.BINOM.INV(MAX(0,ca!D9),MAX(0,MIN(1,VLOOKUP(4,h_nat_tbl,2,FALSE))),RAND()),0)</f>
        <v/>
      </c>
      <c r="F10">
        <f>IFERROR(_xlfn.BINOM.INV(MAX(0,ca!E9),MAX(0,MIN(1,VLOOKUP(5,h_nat_tbl,2,FALSE))),RAND()),0)</f>
        <v/>
      </c>
      <c r="G10">
        <f>IFERROR(_xlfn.BINOM.INV(MAX(0,ca!F9),MAX(0,MIN(1,VLOOKUP(6,h_nat_tbl,2,FALSE))),RAND()),0)</f>
        <v/>
      </c>
      <c r="H10">
        <f>IFERROR(_xlfn.BINOM.INV(MAX(0,ca!G9),MAX(0,MIN(1,VLOOKUP(7,h_nat_tbl,2,FALSE))),RAND()),0)</f>
        <v/>
      </c>
      <c r="I10">
        <f>IFERROR(_xlfn.BINOM.INV(MAX(0,ca!H9),MAX(0,MIN(1,VLOOKUP(8,h_nat_tbl,2,FALSE))),RAND()),0)</f>
        <v/>
      </c>
      <c r="J10">
        <f>IFERROR(_xlfn.BINOM.INV(MAX(0,ca!I9),MAX(0,MIN(1,VLOOKUP(9,h_nat_tbl,2,FALSE))),RAND()),0)</f>
        <v/>
      </c>
      <c r="K10">
        <f>IFERROR(_xlfn.BINOM.INV(MAX(0,ca!J9),MAX(0,MIN(1,VLOOKUP(10,h_nat_tbl,2,FALSE))),RAND()),0)</f>
        <v/>
      </c>
    </row>
    <row r="11">
      <c r="A11" t="n">
        <v>9</v>
      </c>
      <c r="B11">
        <f>IFERROR(_xlfn.BINOM.INV(MAX(0,0),MAX(0,MIN(1,VLOOKUP(1,h_nat_tbl,2,FALSE))),RAND()),0)</f>
        <v/>
      </c>
      <c r="C11">
        <f>IFERROR(_xlfn.BINOM.INV(MAX(0,ca!B10),MAX(0,MIN(1,VLOOKUP(2,h_nat_tbl,2,FALSE))),RAND()),0)</f>
        <v/>
      </c>
      <c r="D11">
        <f>IFERROR(_xlfn.BINOM.INV(MAX(0,ca!C10),MAX(0,MIN(1,VLOOKUP(3,h_nat_tbl,2,FALSE))),RAND()),0)</f>
        <v/>
      </c>
      <c r="E11">
        <f>IFERROR(_xlfn.BINOM.INV(MAX(0,ca!D10),MAX(0,MIN(1,VLOOKUP(4,h_nat_tbl,2,FALSE))),RAND()),0)</f>
        <v/>
      </c>
      <c r="F11">
        <f>IFERROR(_xlfn.BINOM.INV(MAX(0,ca!E10),MAX(0,MIN(1,VLOOKUP(5,h_nat_tbl,2,FALSE))),RAND()),0)</f>
        <v/>
      </c>
      <c r="G11">
        <f>IFERROR(_xlfn.BINOM.INV(MAX(0,ca!F10),MAX(0,MIN(1,VLOOKUP(6,h_nat_tbl,2,FALSE))),RAND()),0)</f>
        <v/>
      </c>
      <c r="H11">
        <f>IFERROR(_xlfn.BINOM.INV(MAX(0,ca!G10),MAX(0,MIN(1,VLOOKUP(7,h_nat_tbl,2,FALSE))),RAND()),0)</f>
        <v/>
      </c>
      <c r="I11">
        <f>IFERROR(_xlfn.BINOM.INV(MAX(0,ca!H10),MAX(0,MIN(1,VLOOKUP(8,h_nat_tbl,2,FALSE))),RAND()),0)</f>
        <v/>
      </c>
      <c r="J11">
        <f>IFERROR(_xlfn.BINOM.INV(MAX(0,ca!I10),MAX(0,MIN(1,VLOOKUP(9,h_nat_tbl,2,FALSE))),RAND()),0)</f>
        <v/>
      </c>
      <c r="K11">
        <f>IFERROR(_xlfn.BINOM.INV(MAX(0,ca!J10),MAX(0,MIN(1,VLOOKUP(10,h_nat_tbl,2,FALSE))),RAND()),0)</f>
        <v/>
      </c>
    </row>
    <row r="12">
      <c r="A12" t="n">
        <v>10</v>
      </c>
      <c r="B12">
        <f>IFERROR(_xlfn.BINOM.INV(MAX(0,0),MAX(0,MIN(1,VLOOKUP(1,h_nat_tbl,2,FALSE))),RAND()),0)</f>
        <v/>
      </c>
      <c r="C12">
        <f>IFERROR(_xlfn.BINOM.INV(MAX(0,ca!B11),MAX(0,MIN(1,VLOOKUP(2,h_nat_tbl,2,FALSE))),RAND()),0)</f>
        <v/>
      </c>
      <c r="D12">
        <f>IFERROR(_xlfn.BINOM.INV(MAX(0,ca!C11),MAX(0,MIN(1,VLOOKUP(3,h_nat_tbl,2,FALSE))),RAND()),0)</f>
        <v/>
      </c>
      <c r="E12">
        <f>IFERROR(_xlfn.BINOM.INV(MAX(0,ca!D11),MAX(0,MIN(1,VLOOKUP(4,h_nat_tbl,2,FALSE))),RAND()),0)</f>
        <v/>
      </c>
      <c r="F12">
        <f>IFERROR(_xlfn.BINOM.INV(MAX(0,ca!E11),MAX(0,MIN(1,VLOOKUP(5,h_nat_tbl,2,FALSE))),RAND()),0)</f>
        <v/>
      </c>
      <c r="G12">
        <f>IFERROR(_xlfn.BINOM.INV(MAX(0,ca!F11),MAX(0,MIN(1,VLOOKUP(6,h_nat_tbl,2,FALSE))),RAND()),0)</f>
        <v/>
      </c>
      <c r="H12">
        <f>IFERROR(_xlfn.BINOM.INV(MAX(0,ca!G11),MAX(0,MIN(1,VLOOKUP(7,h_nat_tbl,2,FALSE))),RAND()),0)</f>
        <v/>
      </c>
      <c r="I12">
        <f>IFERROR(_xlfn.BINOM.INV(MAX(0,ca!H11),MAX(0,MIN(1,VLOOKUP(8,h_nat_tbl,2,FALSE))),RAND()),0)</f>
        <v/>
      </c>
      <c r="J12">
        <f>IFERROR(_xlfn.BINOM.INV(MAX(0,ca!I11),MAX(0,MIN(1,VLOOKUP(9,h_nat_tbl,2,FALSE))),RAND()),0)</f>
        <v/>
      </c>
      <c r="K12">
        <f>IFERROR(_xlfn.BINOM.INV(MAX(0,ca!J11),MAX(0,MIN(1,VLOOKUP(10,h_nat_tbl,2,FALSE))),RAND()),0)</f>
        <v/>
      </c>
    </row>
    <row r="13">
      <c r="A13" t="n">
        <v>11</v>
      </c>
      <c r="B13">
        <f>IFERROR(_xlfn.BINOM.INV(MAX(0,0),MAX(0,MIN(1,VLOOKUP(1,h_nat_tbl,2,FALSE))),RAND()),0)</f>
        <v/>
      </c>
      <c r="C13">
        <f>IFERROR(_xlfn.BINOM.INV(MAX(0,ca!B12),MAX(0,MIN(1,VLOOKUP(2,h_nat_tbl,2,FALSE))),RAND()),0)</f>
        <v/>
      </c>
      <c r="D13">
        <f>IFERROR(_xlfn.BINOM.INV(MAX(0,ca!C12),MAX(0,MIN(1,VLOOKUP(3,h_nat_tbl,2,FALSE))),RAND()),0)</f>
        <v/>
      </c>
      <c r="E13">
        <f>IFERROR(_xlfn.BINOM.INV(MAX(0,ca!D12),MAX(0,MIN(1,VLOOKUP(4,h_nat_tbl,2,FALSE))),RAND()),0)</f>
        <v/>
      </c>
      <c r="F13">
        <f>IFERROR(_xlfn.BINOM.INV(MAX(0,ca!E12),MAX(0,MIN(1,VLOOKUP(5,h_nat_tbl,2,FALSE))),RAND()),0)</f>
        <v/>
      </c>
      <c r="G13">
        <f>IFERROR(_xlfn.BINOM.INV(MAX(0,ca!F12),MAX(0,MIN(1,VLOOKUP(6,h_nat_tbl,2,FALSE))),RAND()),0)</f>
        <v/>
      </c>
      <c r="H13">
        <f>IFERROR(_xlfn.BINOM.INV(MAX(0,ca!G12),MAX(0,MIN(1,VLOOKUP(7,h_nat_tbl,2,FALSE))),RAND()),0)</f>
        <v/>
      </c>
      <c r="I13">
        <f>IFERROR(_xlfn.BINOM.INV(MAX(0,ca!H12),MAX(0,MIN(1,VLOOKUP(8,h_nat_tbl,2,FALSE))),RAND()),0)</f>
        <v/>
      </c>
      <c r="J13">
        <f>IFERROR(_xlfn.BINOM.INV(MAX(0,ca!I12),MAX(0,MIN(1,VLOOKUP(9,h_nat_tbl,2,FALSE))),RAND()),0)</f>
        <v/>
      </c>
      <c r="K13">
        <f>IFERROR(_xlfn.BINOM.INV(MAX(0,ca!J12),MAX(0,MIN(1,VLOOKUP(10,h_nat_tbl,2,FALSE))),RAND()),0)</f>
        <v/>
      </c>
    </row>
    <row r="14">
      <c r="A14" t="n">
        <v>12</v>
      </c>
      <c r="B14">
        <f>IFERROR(_xlfn.BINOM.INV(MAX(0,0),MAX(0,MIN(1,VLOOKUP(1,h_nat_tbl,2,FALSE))),RAND()),0)</f>
        <v/>
      </c>
      <c r="C14">
        <f>IFERROR(_xlfn.BINOM.INV(MAX(0,ca!B13),MAX(0,MIN(1,VLOOKUP(2,h_nat_tbl,2,FALSE))),RAND()),0)</f>
        <v/>
      </c>
      <c r="D14">
        <f>IFERROR(_xlfn.BINOM.INV(MAX(0,ca!C13),MAX(0,MIN(1,VLOOKUP(3,h_nat_tbl,2,FALSE))),RAND()),0)</f>
        <v/>
      </c>
      <c r="E14">
        <f>IFERROR(_xlfn.BINOM.INV(MAX(0,ca!D13),MAX(0,MIN(1,VLOOKUP(4,h_nat_tbl,2,FALSE))),RAND()),0)</f>
        <v/>
      </c>
      <c r="F14">
        <f>IFERROR(_xlfn.BINOM.INV(MAX(0,ca!E13),MAX(0,MIN(1,VLOOKUP(5,h_nat_tbl,2,FALSE))),RAND()),0)</f>
        <v/>
      </c>
      <c r="G14">
        <f>IFERROR(_xlfn.BINOM.INV(MAX(0,ca!F13),MAX(0,MIN(1,VLOOKUP(6,h_nat_tbl,2,FALSE))),RAND()),0)</f>
        <v/>
      </c>
      <c r="H14">
        <f>IFERROR(_xlfn.BINOM.INV(MAX(0,ca!G13),MAX(0,MIN(1,VLOOKUP(7,h_nat_tbl,2,FALSE))),RAND()),0)</f>
        <v/>
      </c>
      <c r="I14">
        <f>IFERROR(_xlfn.BINOM.INV(MAX(0,ca!H13),MAX(0,MIN(1,VLOOKUP(8,h_nat_tbl,2,FALSE))),RAND()),0)</f>
        <v/>
      </c>
      <c r="J14">
        <f>IFERROR(_xlfn.BINOM.INV(MAX(0,ca!I13),MAX(0,MIN(1,VLOOKUP(9,h_nat_tbl,2,FALSE))),RAND()),0)</f>
        <v/>
      </c>
      <c r="K14">
        <f>IFERROR(_xlfn.BINOM.INV(MAX(0,ca!J13),MAX(0,MIN(1,VLOOKUP(10,h_nat_tbl,2,FALSE))),RAND()),0)</f>
        <v/>
      </c>
    </row>
    <row r="15">
      <c r="A15" t="n">
        <v>13</v>
      </c>
      <c r="B15">
        <f>IFERROR(_xlfn.BINOM.INV(MAX(0,0),MAX(0,MIN(1,VLOOKUP(1,h_nat_tbl,2,FALSE))),RAND()),0)</f>
        <v/>
      </c>
      <c r="C15">
        <f>IFERROR(_xlfn.BINOM.INV(MAX(0,ca!B14),MAX(0,MIN(1,VLOOKUP(2,h_nat_tbl,2,FALSE))),RAND()),0)</f>
        <v/>
      </c>
      <c r="D15">
        <f>IFERROR(_xlfn.BINOM.INV(MAX(0,ca!C14),MAX(0,MIN(1,VLOOKUP(3,h_nat_tbl,2,FALSE))),RAND()),0)</f>
        <v/>
      </c>
      <c r="E15">
        <f>IFERROR(_xlfn.BINOM.INV(MAX(0,ca!D14),MAX(0,MIN(1,VLOOKUP(4,h_nat_tbl,2,FALSE))),RAND()),0)</f>
        <v/>
      </c>
      <c r="F15">
        <f>IFERROR(_xlfn.BINOM.INV(MAX(0,ca!E14),MAX(0,MIN(1,VLOOKUP(5,h_nat_tbl,2,FALSE))),RAND()),0)</f>
        <v/>
      </c>
      <c r="G15">
        <f>IFERROR(_xlfn.BINOM.INV(MAX(0,ca!F14),MAX(0,MIN(1,VLOOKUP(6,h_nat_tbl,2,FALSE))),RAND()),0)</f>
        <v/>
      </c>
      <c r="H15">
        <f>IFERROR(_xlfn.BINOM.INV(MAX(0,ca!G14),MAX(0,MIN(1,VLOOKUP(7,h_nat_tbl,2,FALSE))),RAND()),0)</f>
        <v/>
      </c>
      <c r="I15">
        <f>IFERROR(_xlfn.BINOM.INV(MAX(0,ca!H14),MAX(0,MIN(1,VLOOKUP(8,h_nat_tbl,2,FALSE))),RAND()),0)</f>
        <v/>
      </c>
      <c r="J15">
        <f>IFERROR(_xlfn.BINOM.INV(MAX(0,ca!I14),MAX(0,MIN(1,VLOOKUP(9,h_nat_tbl,2,FALSE))),RAND()),0)</f>
        <v/>
      </c>
      <c r="K15">
        <f>IFERROR(_xlfn.BINOM.INV(MAX(0,ca!J14),MAX(0,MIN(1,VLOOKUP(10,h_nat_tbl,2,FALSE))),RAND()),0)</f>
        <v/>
      </c>
    </row>
    <row r="16">
      <c r="A16" t="n">
        <v>14</v>
      </c>
      <c r="B16">
        <f>IFERROR(_xlfn.BINOM.INV(MAX(0,0),MAX(0,MIN(1,VLOOKUP(1,h_nat_tbl,2,FALSE))),RAND()),0)</f>
        <v/>
      </c>
      <c r="C16">
        <f>IFERROR(_xlfn.BINOM.INV(MAX(0,ca!B15),MAX(0,MIN(1,VLOOKUP(2,h_nat_tbl,2,FALSE))),RAND()),0)</f>
        <v/>
      </c>
      <c r="D16">
        <f>IFERROR(_xlfn.BINOM.INV(MAX(0,ca!C15),MAX(0,MIN(1,VLOOKUP(3,h_nat_tbl,2,FALSE))),RAND()),0)</f>
        <v/>
      </c>
      <c r="E16">
        <f>IFERROR(_xlfn.BINOM.INV(MAX(0,ca!D15),MAX(0,MIN(1,VLOOKUP(4,h_nat_tbl,2,FALSE))),RAND()),0)</f>
        <v/>
      </c>
      <c r="F16">
        <f>IFERROR(_xlfn.BINOM.INV(MAX(0,ca!E15),MAX(0,MIN(1,VLOOKUP(5,h_nat_tbl,2,FALSE))),RAND()),0)</f>
        <v/>
      </c>
      <c r="G16">
        <f>IFERROR(_xlfn.BINOM.INV(MAX(0,ca!F15),MAX(0,MIN(1,VLOOKUP(6,h_nat_tbl,2,FALSE))),RAND()),0)</f>
        <v/>
      </c>
      <c r="H16">
        <f>IFERROR(_xlfn.BINOM.INV(MAX(0,ca!G15),MAX(0,MIN(1,VLOOKUP(7,h_nat_tbl,2,FALSE))),RAND()),0)</f>
        <v/>
      </c>
      <c r="I16">
        <f>IFERROR(_xlfn.BINOM.INV(MAX(0,ca!H15),MAX(0,MIN(1,VLOOKUP(8,h_nat_tbl,2,FALSE))),RAND()),0)</f>
        <v/>
      </c>
      <c r="J16">
        <f>IFERROR(_xlfn.BINOM.INV(MAX(0,ca!I15),MAX(0,MIN(1,VLOOKUP(9,h_nat_tbl,2,FALSE))),RAND()),0)</f>
        <v/>
      </c>
      <c r="K16">
        <f>IFERROR(_xlfn.BINOM.INV(MAX(0,ca!J15),MAX(0,MIN(1,VLOOKUP(10,h_nat_tbl,2,FALSE))),RAND()),0)</f>
        <v/>
      </c>
    </row>
    <row r="17">
      <c r="A17" t="n">
        <v>15</v>
      </c>
      <c r="B17">
        <f>IFERROR(_xlfn.BINOM.INV(MAX(0,0),MAX(0,MIN(1,VLOOKUP(1,h_nat_tbl,2,FALSE))),RAND()),0)</f>
        <v/>
      </c>
      <c r="C17">
        <f>IFERROR(_xlfn.BINOM.INV(MAX(0,ca!B16),MAX(0,MIN(1,VLOOKUP(2,h_nat_tbl,2,FALSE))),RAND()),0)</f>
        <v/>
      </c>
      <c r="D17">
        <f>IFERROR(_xlfn.BINOM.INV(MAX(0,ca!C16),MAX(0,MIN(1,VLOOKUP(3,h_nat_tbl,2,FALSE))),RAND()),0)</f>
        <v/>
      </c>
      <c r="E17">
        <f>IFERROR(_xlfn.BINOM.INV(MAX(0,ca!D16),MAX(0,MIN(1,VLOOKUP(4,h_nat_tbl,2,FALSE))),RAND()),0)</f>
        <v/>
      </c>
      <c r="F17">
        <f>IFERROR(_xlfn.BINOM.INV(MAX(0,ca!E16),MAX(0,MIN(1,VLOOKUP(5,h_nat_tbl,2,FALSE))),RAND()),0)</f>
        <v/>
      </c>
      <c r="G17">
        <f>IFERROR(_xlfn.BINOM.INV(MAX(0,ca!F16),MAX(0,MIN(1,VLOOKUP(6,h_nat_tbl,2,FALSE))),RAND()),0)</f>
        <v/>
      </c>
      <c r="H17">
        <f>IFERROR(_xlfn.BINOM.INV(MAX(0,ca!G16),MAX(0,MIN(1,VLOOKUP(7,h_nat_tbl,2,FALSE))),RAND()),0)</f>
        <v/>
      </c>
      <c r="I17">
        <f>IFERROR(_xlfn.BINOM.INV(MAX(0,ca!H16),MAX(0,MIN(1,VLOOKUP(8,h_nat_tbl,2,FALSE))),RAND()),0)</f>
        <v/>
      </c>
      <c r="J17">
        <f>IFERROR(_xlfn.BINOM.INV(MAX(0,ca!I16),MAX(0,MIN(1,VLOOKUP(9,h_nat_tbl,2,FALSE))),RAND()),0)</f>
        <v/>
      </c>
      <c r="K17">
        <f>IFERROR(_xlfn.BINOM.INV(MAX(0,ca!J16),MAX(0,MIN(1,VLOOKUP(10,h_nat_tbl,2,FALSE))),RAND()),0)</f>
        <v/>
      </c>
    </row>
    <row r="18">
      <c r="A18" t="n">
        <v>16</v>
      </c>
      <c r="B18">
        <f>IFERROR(_xlfn.BINOM.INV(MAX(0,0),MAX(0,MIN(1,VLOOKUP(1,h_nat_tbl,2,FALSE))),RAND()),0)</f>
        <v/>
      </c>
      <c r="C18">
        <f>IFERROR(_xlfn.BINOM.INV(MAX(0,ca!B17),MAX(0,MIN(1,VLOOKUP(2,h_nat_tbl,2,FALSE))),RAND()),0)</f>
        <v/>
      </c>
      <c r="D18">
        <f>IFERROR(_xlfn.BINOM.INV(MAX(0,ca!C17),MAX(0,MIN(1,VLOOKUP(3,h_nat_tbl,2,FALSE))),RAND()),0)</f>
        <v/>
      </c>
      <c r="E18">
        <f>IFERROR(_xlfn.BINOM.INV(MAX(0,ca!D17),MAX(0,MIN(1,VLOOKUP(4,h_nat_tbl,2,FALSE))),RAND()),0)</f>
        <v/>
      </c>
      <c r="F18">
        <f>IFERROR(_xlfn.BINOM.INV(MAX(0,ca!E17),MAX(0,MIN(1,VLOOKUP(5,h_nat_tbl,2,FALSE))),RAND()),0)</f>
        <v/>
      </c>
      <c r="G18">
        <f>IFERROR(_xlfn.BINOM.INV(MAX(0,ca!F17),MAX(0,MIN(1,VLOOKUP(6,h_nat_tbl,2,FALSE))),RAND()),0)</f>
        <v/>
      </c>
      <c r="H18">
        <f>IFERROR(_xlfn.BINOM.INV(MAX(0,ca!G17),MAX(0,MIN(1,VLOOKUP(7,h_nat_tbl,2,FALSE))),RAND()),0)</f>
        <v/>
      </c>
      <c r="I18">
        <f>IFERROR(_xlfn.BINOM.INV(MAX(0,ca!H17),MAX(0,MIN(1,VLOOKUP(8,h_nat_tbl,2,FALSE))),RAND()),0)</f>
        <v/>
      </c>
      <c r="J18">
        <f>IFERROR(_xlfn.BINOM.INV(MAX(0,ca!I17),MAX(0,MIN(1,VLOOKUP(9,h_nat_tbl,2,FALSE))),RAND()),0)</f>
        <v/>
      </c>
      <c r="K18">
        <f>IFERROR(_xlfn.BINOM.INV(MAX(0,ca!J17),MAX(0,MIN(1,VLOOKUP(10,h_nat_tbl,2,FALSE))),RAND()),0)</f>
        <v/>
      </c>
    </row>
    <row r="19">
      <c r="A19" t="n">
        <v>17</v>
      </c>
      <c r="B19">
        <f>IFERROR(_xlfn.BINOM.INV(MAX(0,0),MAX(0,MIN(1,VLOOKUP(1,h_nat_tbl,2,FALSE))),RAND()),0)</f>
        <v/>
      </c>
      <c r="C19">
        <f>IFERROR(_xlfn.BINOM.INV(MAX(0,ca!B18),MAX(0,MIN(1,VLOOKUP(2,h_nat_tbl,2,FALSE))),RAND()),0)</f>
        <v/>
      </c>
      <c r="D19">
        <f>IFERROR(_xlfn.BINOM.INV(MAX(0,ca!C18),MAX(0,MIN(1,VLOOKUP(3,h_nat_tbl,2,FALSE))),RAND()),0)</f>
        <v/>
      </c>
      <c r="E19">
        <f>IFERROR(_xlfn.BINOM.INV(MAX(0,ca!D18),MAX(0,MIN(1,VLOOKUP(4,h_nat_tbl,2,FALSE))),RAND()),0)</f>
        <v/>
      </c>
      <c r="F19">
        <f>IFERROR(_xlfn.BINOM.INV(MAX(0,ca!E18),MAX(0,MIN(1,VLOOKUP(5,h_nat_tbl,2,FALSE))),RAND()),0)</f>
        <v/>
      </c>
      <c r="G19">
        <f>IFERROR(_xlfn.BINOM.INV(MAX(0,ca!F18),MAX(0,MIN(1,VLOOKUP(6,h_nat_tbl,2,FALSE))),RAND()),0)</f>
        <v/>
      </c>
      <c r="H19">
        <f>IFERROR(_xlfn.BINOM.INV(MAX(0,ca!G18),MAX(0,MIN(1,VLOOKUP(7,h_nat_tbl,2,FALSE))),RAND()),0)</f>
        <v/>
      </c>
      <c r="I19">
        <f>IFERROR(_xlfn.BINOM.INV(MAX(0,ca!H18),MAX(0,MIN(1,VLOOKUP(8,h_nat_tbl,2,FALSE))),RAND()),0)</f>
        <v/>
      </c>
      <c r="J19">
        <f>IFERROR(_xlfn.BINOM.INV(MAX(0,ca!I18),MAX(0,MIN(1,VLOOKUP(9,h_nat_tbl,2,FALSE))),RAND()),0)</f>
        <v/>
      </c>
      <c r="K19">
        <f>IFERROR(_xlfn.BINOM.INV(MAX(0,ca!J18),MAX(0,MIN(1,VLOOKUP(10,h_nat_tbl,2,FALSE))),RAND()),0)</f>
        <v/>
      </c>
    </row>
    <row r="20">
      <c r="A20" t="n">
        <v>18</v>
      </c>
      <c r="B20">
        <f>IFERROR(_xlfn.BINOM.INV(MAX(0,0),MAX(0,MIN(1,VLOOKUP(1,h_nat_tbl,2,FALSE))),RAND()),0)</f>
        <v/>
      </c>
      <c r="C20">
        <f>IFERROR(_xlfn.BINOM.INV(MAX(0,ca!B19),MAX(0,MIN(1,VLOOKUP(2,h_nat_tbl,2,FALSE))),RAND()),0)</f>
        <v/>
      </c>
      <c r="D20">
        <f>IFERROR(_xlfn.BINOM.INV(MAX(0,ca!C19),MAX(0,MIN(1,VLOOKUP(3,h_nat_tbl,2,FALSE))),RAND()),0)</f>
        <v/>
      </c>
      <c r="E20">
        <f>IFERROR(_xlfn.BINOM.INV(MAX(0,ca!D19),MAX(0,MIN(1,VLOOKUP(4,h_nat_tbl,2,FALSE))),RAND()),0)</f>
        <v/>
      </c>
      <c r="F20">
        <f>IFERROR(_xlfn.BINOM.INV(MAX(0,ca!E19),MAX(0,MIN(1,VLOOKUP(5,h_nat_tbl,2,FALSE))),RAND()),0)</f>
        <v/>
      </c>
      <c r="G20">
        <f>IFERROR(_xlfn.BINOM.INV(MAX(0,ca!F19),MAX(0,MIN(1,VLOOKUP(6,h_nat_tbl,2,FALSE))),RAND()),0)</f>
        <v/>
      </c>
      <c r="H20">
        <f>IFERROR(_xlfn.BINOM.INV(MAX(0,ca!G19),MAX(0,MIN(1,VLOOKUP(7,h_nat_tbl,2,FALSE))),RAND()),0)</f>
        <v/>
      </c>
      <c r="I20">
        <f>IFERROR(_xlfn.BINOM.INV(MAX(0,ca!H19),MAX(0,MIN(1,VLOOKUP(8,h_nat_tbl,2,FALSE))),RAND()),0)</f>
        <v/>
      </c>
      <c r="J20">
        <f>IFERROR(_xlfn.BINOM.INV(MAX(0,ca!I19),MAX(0,MIN(1,VLOOKUP(9,h_nat_tbl,2,FALSE))),RAND()),0)</f>
        <v/>
      </c>
      <c r="K20">
        <f>IFERROR(_xlfn.BINOM.INV(MAX(0,ca!J19),MAX(0,MIN(1,VLOOKUP(10,h_nat_tbl,2,FALSE))),RAND()),0)</f>
        <v/>
      </c>
    </row>
    <row r="21">
      <c r="A21" t="n">
        <v>19</v>
      </c>
      <c r="B21">
        <f>IFERROR(_xlfn.BINOM.INV(MAX(0,0),MAX(0,MIN(1,VLOOKUP(1,h_nat_tbl,2,FALSE))),RAND()),0)</f>
        <v/>
      </c>
      <c r="C21">
        <f>IFERROR(_xlfn.BINOM.INV(MAX(0,ca!B20),MAX(0,MIN(1,VLOOKUP(2,h_nat_tbl,2,FALSE))),RAND()),0)</f>
        <v/>
      </c>
      <c r="D21">
        <f>IFERROR(_xlfn.BINOM.INV(MAX(0,ca!C20),MAX(0,MIN(1,VLOOKUP(3,h_nat_tbl,2,FALSE))),RAND()),0)</f>
        <v/>
      </c>
      <c r="E21">
        <f>IFERROR(_xlfn.BINOM.INV(MAX(0,ca!D20),MAX(0,MIN(1,VLOOKUP(4,h_nat_tbl,2,FALSE))),RAND()),0)</f>
        <v/>
      </c>
      <c r="F21">
        <f>IFERROR(_xlfn.BINOM.INV(MAX(0,ca!E20),MAX(0,MIN(1,VLOOKUP(5,h_nat_tbl,2,FALSE))),RAND()),0)</f>
        <v/>
      </c>
      <c r="G21">
        <f>IFERROR(_xlfn.BINOM.INV(MAX(0,ca!F20),MAX(0,MIN(1,VLOOKUP(6,h_nat_tbl,2,FALSE))),RAND()),0)</f>
        <v/>
      </c>
      <c r="H21">
        <f>IFERROR(_xlfn.BINOM.INV(MAX(0,ca!G20),MAX(0,MIN(1,VLOOKUP(7,h_nat_tbl,2,FALSE))),RAND()),0)</f>
        <v/>
      </c>
      <c r="I21">
        <f>IFERROR(_xlfn.BINOM.INV(MAX(0,ca!H20),MAX(0,MIN(1,VLOOKUP(8,h_nat_tbl,2,FALSE))),RAND()),0)</f>
        <v/>
      </c>
      <c r="J21">
        <f>IFERROR(_xlfn.BINOM.INV(MAX(0,ca!I20),MAX(0,MIN(1,VLOOKUP(9,h_nat_tbl,2,FALSE))),RAND()),0)</f>
        <v/>
      </c>
      <c r="K21">
        <f>IFERROR(_xlfn.BINOM.INV(MAX(0,ca!J20),MAX(0,MIN(1,VLOOKUP(10,h_nat_tbl,2,FALSE))),RAND()),0)</f>
        <v/>
      </c>
    </row>
    <row r="22">
      <c r="A22" t="n">
        <v>20</v>
      </c>
      <c r="B22">
        <f>IFERROR(_xlfn.BINOM.INV(MAX(0,0),MAX(0,MIN(1,VLOOKUP(1,h_nat_tbl,2,FALSE))),RAND()),0)</f>
        <v/>
      </c>
      <c r="C22">
        <f>IFERROR(_xlfn.BINOM.INV(MAX(0,ca!B21),MAX(0,MIN(1,VLOOKUP(2,h_nat_tbl,2,FALSE))),RAND()),0)</f>
        <v/>
      </c>
      <c r="D22">
        <f>IFERROR(_xlfn.BINOM.INV(MAX(0,ca!C21),MAX(0,MIN(1,VLOOKUP(3,h_nat_tbl,2,FALSE))),RAND()),0)</f>
        <v/>
      </c>
      <c r="E22">
        <f>IFERROR(_xlfn.BINOM.INV(MAX(0,ca!D21),MAX(0,MIN(1,VLOOKUP(4,h_nat_tbl,2,FALSE))),RAND()),0)</f>
        <v/>
      </c>
      <c r="F22">
        <f>IFERROR(_xlfn.BINOM.INV(MAX(0,ca!E21),MAX(0,MIN(1,VLOOKUP(5,h_nat_tbl,2,FALSE))),RAND()),0)</f>
        <v/>
      </c>
      <c r="G22">
        <f>IFERROR(_xlfn.BINOM.INV(MAX(0,ca!F21),MAX(0,MIN(1,VLOOKUP(6,h_nat_tbl,2,FALSE))),RAND()),0)</f>
        <v/>
      </c>
      <c r="H22">
        <f>IFERROR(_xlfn.BINOM.INV(MAX(0,ca!G21),MAX(0,MIN(1,VLOOKUP(7,h_nat_tbl,2,FALSE))),RAND()),0)</f>
        <v/>
      </c>
      <c r="I22">
        <f>IFERROR(_xlfn.BINOM.INV(MAX(0,ca!H21),MAX(0,MIN(1,VLOOKUP(8,h_nat_tbl,2,FALSE))),RAND()),0)</f>
        <v/>
      </c>
      <c r="J22">
        <f>IFERROR(_xlfn.BINOM.INV(MAX(0,ca!I21),MAX(0,MIN(1,VLOOKUP(9,h_nat_tbl,2,FALSE))),RAND()),0)</f>
        <v/>
      </c>
      <c r="K22">
        <f>IFERROR(_xlfn.BINOM.INV(MAX(0,ca!J21),MAX(0,MIN(1,VLOOKUP(10,h_nat_tbl,2,FALSE))),RAND()),0)</f>
        <v/>
      </c>
    </row>
    <row r="23">
      <c r="A23" t="n">
        <v>21</v>
      </c>
      <c r="B23">
        <f>IFERROR(_xlfn.BINOM.INV(MAX(0,0),MAX(0,MIN(1,VLOOKUP(1,h_nat_tbl,2,FALSE))),RAND()),0)</f>
        <v/>
      </c>
      <c r="C23">
        <f>IFERROR(_xlfn.BINOM.INV(MAX(0,ca!B22),MAX(0,MIN(1,VLOOKUP(2,h_nat_tbl,2,FALSE))),RAND()),0)</f>
        <v/>
      </c>
      <c r="D23">
        <f>IFERROR(_xlfn.BINOM.INV(MAX(0,ca!C22),MAX(0,MIN(1,VLOOKUP(3,h_nat_tbl,2,FALSE))),RAND()),0)</f>
        <v/>
      </c>
      <c r="E23">
        <f>IFERROR(_xlfn.BINOM.INV(MAX(0,ca!D22),MAX(0,MIN(1,VLOOKUP(4,h_nat_tbl,2,FALSE))),RAND()),0)</f>
        <v/>
      </c>
      <c r="F23">
        <f>IFERROR(_xlfn.BINOM.INV(MAX(0,ca!E22),MAX(0,MIN(1,VLOOKUP(5,h_nat_tbl,2,FALSE))),RAND()),0)</f>
        <v/>
      </c>
      <c r="G23">
        <f>IFERROR(_xlfn.BINOM.INV(MAX(0,ca!F22),MAX(0,MIN(1,VLOOKUP(6,h_nat_tbl,2,FALSE))),RAND()),0)</f>
        <v/>
      </c>
      <c r="H23">
        <f>IFERROR(_xlfn.BINOM.INV(MAX(0,ca!G22),MAX(0,MIN(1,VLOOKUP(7,h_nat_tbl,2,FALSE))),RAND()),0)</f>
        <v/>
      </c>
      <c r="I23">
        <f>IFERROR(_xlfn.BINOM.INV(MAX(0,ca!H22),MAX(0,MIN(1,VLOOKUP(8,h_nat_tbl,2,FALSE))),RAND()),0)</f>
        <v/>
      </c>
      <c r="J23">
        <f>IFERROR(_xlfn.BINOM.INV(MAX(0,ca!I22),MAX(0,MIN(1,VLOOKUP(9,h_nat_tbl,2,FALSE))),RAND()),0)</f>
        <v/>
      </c>
      <c r="K23">
        <f>IFERROR(_xlfn.BINOM.INV(MAX(0,ca!J22),MAX(0,MIN(1,VLOOKUP(10,h_nat_tbl,2,FALSE))),RAND()),0)</f>
        <v/>
      </c>
    </row>
    <row r="24">
      <c r="A24" t="n">
        <v>22</v>
      </c>
      <c r="B24">
        <f>IFERROR(_xlfn.BINOM.INV(MAX(0,0),MAX(0,MIN(1,VLOOKUP(1,h_nat_tbl,2,FALSE))),RAND()),0)</f>
        <v/>
      </c>
      <c r="C24">
        <f>IFERROR(_xlfn.BINOM.INV(MAX(0,ca!B23),MAX(0,MIN(1,VLOOKUP(2,h_nat_tbl,2,FALSE))),RAND()),0)</f>
        <v/>
      </c>
      <c r="D24">
        <f>IFERROR(_xlfn.BINOM.INV(MAX(0,ca!C23),MAX(0,MIN(1,VLOOKUP(3,h_nat_tbl,2,FALSE))),RAND()),0)</f>
        <v/>
      </c>
      <c r="E24">
        <f>IFERROR(_xlfn.BINOM.INV(MAX(0,ca!D23),MAX(0,MIN(1,VLOOKUP(4,h_nat_tbl,2,FALSE))),RAND()),0)</f>
        <v/>
      </c>
      <c r="F24">
        <f>IFERROR(_xlfn.BINOM.INV(MAX(0,ca!E23),MAX(0,MIN(1,VLOOKUP(5,h_nat_tbl,2,FALSE))),RAND()),0)</f>
        <v/>
      </c>
      <c r="G24">
        <f>IFERROR(_xlfn.BINOM.INV(MAX(0,ca!F23),MAX(0,MIN(1,VLOOKUP(6,h_nat_tbl,2,FALSE))),RAND()),0)</f>
        <v/>
      </c>
      <c r="H24">
        <f>IFERROR(_xlfn.BINOM.INV(MAX(0,ca!G23),MAX(0,MIN(1,VLOOKUP(7,h_nat_tbl,2,FALSE))),RAND()),0)</f>
        <v/>
      </c>
      <c r="I24">
        <f>IFERROR(_xlfn.BINOM.INV(MAX(0,ca!H23),MAX(0,MIN(1,VLOOKUP(8,h_nat_tbl,2,FALSE))),RAND()),0)</f>
        <v/>
      </c>
      <c r="J24">
        <f>IFERROR(_xlfn.BINOM.INV(MAX(0,ca!I23),MAX(0,MIN(1,VLOOKUP(9,h_nat_tbl,2,FALSE))),RAND()),0)</f>
        <v/>
      </c>
      <c r="K24">
        <f>IFERROR(_xlfn.BINOM.INV(MAX(0,ca!J23),MAX(0,MIN(1,VLOOKUP(10,h_nat_tbl,2,FALSE))),RAND()),0)</f>
        <v/>
      </c>
    </row>
    <row r="25">
      <c r="A25" t="n">
        <v>23</v>
      </c>
      <c r="B25">
        <f>IFERROR(_xlfn.BINOM.INV(MAX(0,0),MAX(0,MIN(1,VLOOKUP(1,h_nat_tbl,2,FALSE))),RAND()),0)</f>
        <v/>
      </c>
      <c r="C25">
        <f>IFERROR(_xlfn.BINOM.INV(MAX(0,ca!B24),MAX(0,MIN(1,VLOOKUP(2,h_nat_tbl,2,FALSE))),RAND()),0)</f>
        <v/>
      </c>
      <c r="D25">
        <f>IFERROR(_xlfn.BINOM.INV(MAX(0,ca!C24),MAX(0,MIN(1,VLOOKUP(3,h_nat_tbl,2,FALSE))),RAND()),0)</f>
        <v/>
      </c>
      <c r="E25">
        <f>IFERROR(_xlfn.BINOM.INV(MAX(0,ca!D24),MAX(0,MIN(1,VLOOKUP(4,h_nat_tbl,2,FALSE))),RAND()),0)</f>
        <v/>
      </c>
      <c r="F25">
        <f>IFERROR(_xlfn.BINOM.INV(MAX(0,ca!E24),MAX(0,MIN(1,VLOOKUP(5,h_nat_tbl,2,FALSE))),RAND()),0)</f>
        <v/>
      </c>
      <c r="G25">
        <f>IFERROR(_xlfn.BINOM.INV(MAX(0,ca!F24),MAX(0,MIN(1,VLOOKUP(6,h_nat_tbl,2,FALSE))),RAND()),0)</f>
        <v/>
      </c>
      <c r="H25">
        <f>IFERROR(_xlfn.BINOM.INV(MAX(0,ca!G24),MAX(0,MIN(1,VLOOKUP(7,h_nat_tbl,2,FALSE))),RAND()),0)</f>
        <v/>
      </c>
      <c r="I25">
        <f>IFERROR(_xlfn.BINOM.INV(MAX(0,ca!H24),MAX(0,MIN(1,VLOOKUP(8,h_nat_tbl,2,FALSE))),RAND()),0)</f>
        <v/>
      </c>
      <c r="J25">
        <f>IFERROR(_xlfn.BINOM.INV(MAX(0,ca!I24),MAX(0,MIN(1,VLOOKUP(9,h_nat_tbl,2,FALSE))),RAND()),0)</f>
        <v/>
      </c>
      <c r="K25">
        <f>IFERROR(_xlfn.BINOM.INV(MAX(0,ca!J24),MAX(0,MIN(1,VLOOKUP(10,h_nat_tbl,2,FALSE))),RAND()),0)</f>
        <v/>
      </c>
    </row>
    <row r="26">
      <c r="A26" t="n">
        <v>24</v>
      </c>
      <c r="B26">
        <f>IFERROR(_xlfn.BINOM.INV(MAX(0,0),MAX(0,MIN(1,VLOOKUP(1,h_nat_tbl,2,FALSE))),RAND()),0)</f>
        <v/>
      </c>
      <c r="C26">
        <f>IFERROR(_xlfn.BINOM.INV(MAX(0,ca!B25),MAX(0,MIN(1,VLOOKUP(2,h_nat_tbl,2,FALSE))),RAND()),0)</f>
        <v/>
      </c>
      <c r="D26">
        <f>IFERROR(_xlfn.BINOM.INV(MAX(0,ca!C25),MAX(0,MIN(1,VLOOKUP(3,h_nat_tbl,2,FALSE))),RAND()),0)</f>
        <v/>
      </c>
      <c r="E26">
        <f>IFERROR(_xlfn.BINOM.INV(MAX(0,ca!D25),MAX(0,MIN(1,VLOOKUP(4,h_nat_tbl,2,FALSE))),RAND()),0)</f>
        <v/>
      </c>
      <c r="F26">
        <f>IFERROR(_xlfn.BINOM.INV(MAX(0,ca!E25),MAX(0,MIN(1,VLOOKUP(5,h_nat_tbl,2,FALSE))),RAND()),0)</f>
        <v/>
      </c>
      <c r="G26">
        <f>IFERROR(_xlfn.BINOM.INV(MAX(0,ca!F25),MAX(0,MIN(1,VLOOKUP(6,h_nat_tbl,2,FALSE))),RAND()),0)</f>
        <v/>
      </c>
      <c r="H26">
        <f>IFERROR(_xlfn.BINOM.INV(MAX(0,ca!G25),MAX(0,MIN(1,VLOOKUP(7,h_nat_tbl,2,FALSE))),RAND()),0)</f>
        <v/>
      </c>
      <c r="I26">
        <f>IFERROR(_xlfn.BINOM.INV(MAX(0,ca!H25),MAX(0,MIN(1,VLOOKUP(8,h_nat_tbl,2,FALSE))),RAND()),0)</f>
        <v/>
      </c>
      <c r="J26">
        <f>IFERROR(_xlfn.BINOM.INV(MAX(0,ca!I25),MAX(0,MIN(1,VLOOKUP(9,h_nat_tbl,2,FALSE))),RAND()),0)</f>
        <v/>
      </c>
      <c r="K26">
        <f>IFERROR(_xlfn.BINOM.INV(MAX(0,ca!J25),MAX(0,MIN(1,VLOOKUP(10,h_nat_tbl,2,FALSE))),RAND()),0)</f>
        <v/>
      </c>
    </row>
    <row r="27">
      <c r="A27" t="n">
        <v>25</v>
      </c>
      <c r="B27">
        <f>IFERROR(_xlfn.BINOM.INV(MAX(0,0),MAX(0,MIN(1,VLOOKUP(1,h_nat_tbl,2,FALSE))),RAND()),0)</f>
        <v/>
      </c>
      <c r="C27">
        <f>IFERROR(_xlfn.BINOM.INV(MAX(0,ca!B26),MAX(0,MIN(1,VLOOKUP(2,h_nat_tbl,2,FALSE))),RAND()),0)</f>
        <v/>
      </c>
      <c r="D27">
        <f>IFERROR(_xlfn.BINOM.INV(MAX(0,ca!C26),MAX(0,MIN(1,VLOOKUP(3,h_nat_tbl,2,FALSE))),RAND()),0)</f>
        <v/>
      </c>
      <c r="E27">
        <f>IFERROR(_xlfn.BINOM.INV(MAX(0,ca!D26),MAX(0,MIN(1,VLOOKUP(4,h_nat_tbl,2,FALSE))),RAND()),0)</f>
        <v/>
      </c>
      <c r="F27">
        <f>IFERROR(_xlfn.BINOM.INV(MAX(0,ca!E26),MAX(0,MIN(1,VLOOKUP(5,h_nat_tbl,2,FALSE))),RAND()),0)</f>
        <v/>
      </c>
      <c r="G27">
        <f>IFERROR(_xlfn.BINOM.INV(MAX(0,ca!F26),MAX(0,MIN(1,VLOOKUP(6,h_nat_tbl,2,FALSE))),RAND()),0)</f>
        <v/>
      </c>
      <c r="H27">
        <f>IFERROR(_xlfn.BINOM.INV(MAX(0,ca!G26),MAX(0,MIN(1,VLOOKUP(7,h_nat_tbl,2,FALSE))),RAND()),0)</f>
        <v/>
      </c>
      <c r="I27">
        <f>IFERROR(_xlfn.BINOM.INV(MAX(0,ca!H26),MAX(0,MIN(1,VLOOKUP(8,h_nat_tbl,2,FALSE))),RAND()),0)</f>
        <v/>
      </c>
      <c r="J27">
        <f>IFERROR(_xlfn.BINOM.INV(MAX(0,ca!I26),MAX(0,MIN(1,VLOOKUP(9,h_nat_tbl,2,FALSE))),RAND()),0)</f>
        <v/>
      </c>
      <c r="K27">
        <f>IFERROR(_xlfn.BINOM.INV(MAX(0,ca!J26),MAX(0,MIN(1,VLOOKUP(10,h_nat_tbl,2,FALSE))),RAND()),0)</f>
        <v/>
      </c>
    </row>
    <row r="28">
      <c r="A28" t="n">
        <v>26</v>
      </c>
      <c r="B28">
        <f>IFERROR(_xlfn.BINOM.INV(MAX(0,0),MAX(0,MIN(1,VLOOKUP(1,h_nat_tbl,2,FALSE))),RAND()),0)</f>
        <v/>
      </c>
      <c r="C28">
        <f>IFERROR(_xlfn.BINOM.INV(MAX(0,ca!B27),MAX(0,MIN(1,VLOOKUP(2,h_nat_tbl,2,FALSE))),RAND()),0)</f>
        <v/>
      </c>
      <c r="D28">
        <f>IFERROR(_xlfn.BINOM.INV(MAX(0,ca!C27),MAX(0,MIN(1,VLOOKUP(3,h_nat_tbl,2,FALSE))),RAND()),0)</f>
        <v/>
      </c>
      <c r="E28">
        <f>IFERROR(_xlfn.BINOM.INV(MAX(0,ca!D27),MAX(0,MIN(1,VLOOKUP(4,h_nat_tbl,2,FALSE))),RAND()),0)</f>
        <v/>
      </c>
      <c r="F28">
        <f>IFERROR(_xlfn.BINOM.INV(MAX(0,ca!E27),MAX(0,MIN(1,VLOOKUP(5,h_nat_tbl,2,FALSE))),RAND()),0)</f>
        <v/>
      </c>
      <c r="G28">
        <f>IFERROR(_xlfn.BINOM.INV(MAX(0,ca!F27),MAX(0,MIN(1,VLOOKUP(6,h_nat_tbl,2,FALSE))),RAND()),0)</f>
        <v/>
      </c>
      <c r="H28">
        <f>IFERROR(_xlfn.BINOM.INV(MAX(0,ca!G27),MAX(0,MIN(1,VLOOKUP(7,h_nat_tbl,2,FALSE))),RAND()),0)</f>
        <v/>
      </c>
      <c r="I28">
        <f>IFERROR(_xlfn.BINOM.INV(MAX(0,ca!H27),MAX(0,MIN(1,VLOOKUP(8,h_nat_tbl,2,FALSE))),RAND()),0)</f>
        <v/>
      </c>
      <c r="J28">
        <f>IFERROR(_xlfn.BINOM.INV(MAX(0,ca!I27),MAX(0,MIN(1,VLOOKUP(9,h_nat_tbl,2,FALSE))),RAND()),0)</f>
        <v/>
      </c>
      <c r="K28">
        <f>IFERROR(_xlfn.BINOM.INV(MAX(0,ca!J27),MAX(0,MIN(1,VLOOKUP(10,h_nat_tbl,2,FALSE))),RAND()),0)</f>
        <v/>
      </c>
    </row>
    <row r="29">
      <c r="A29" t="n">
        <v>27</v>
      </c>
      <c r="B29">
        <f>IFERROR(_xlfn.BINOM.INV(MAX(0,0),MAX(0,MIN(1,VLOOKUP(1,h_nat_tbl,2,FALSE))),RAND()),0)</f>
        <v/>
      </c>
      <c r="C29">
        <f>IFERROR(_xlfn.BINOM.INV(MAX(0,ca!B28),MAX(0,MIN(1,VLOOKUP(2,h_nat_tbl,2,FALSE))),RAND()),0)</f>
        <v/>
      </c>
      <c r="D29">
        <f>IFERROR(_xlfn.BINOM.INV(MAX(0,ca!C28),MAX(0,MIN(1,VLOOKUP(3,h_nat_tbl,2,FALSE))),RAND()),0)</f>
        <v/>
      </c>
      <c r="E29">
        <f>IFERROR(_xlfn.BINOM.INV(MAX(0,ca!D28),MAX(0,MIN(1,VLOOKUP(4,h_nat_tbl,2,FALSE))),RAND()),0)</f>
        <v/>
      </c>
      <c r="F29">
        <f>IFERROR(_xlfn.BINOM.INV(MAX(0,ca!E28),MAX(0,MIN(1,VLOOKUP(5,h_nat_tbl,2,FALSE))),RAND()),0)</f>
        <v/>
      </c>
      <c r="G29">
        <f>IFERROR(_xlfn.BINOM.INV(MAX(0,ca!F28),MAX(0,MIN(1,VLOOKUP(6,h_nat_tbl,2,FALSE))),RAND()),0)</f>
        <v/>
      </c>
      <c r="H29">
        <f>IFERROR(_xlfn.BINOM.INV(MAX(0,ca!G28),MAX(0,MIN(1,VLOOKUP(7,h_nat_tbl,2,FALSE))),RAND()),0)</f>
        <v/>
      </c>
      <c r="I29">
        <f>IFERROR(_xlfn.BINOM.INV(MAX(0,ca!H28),MAX(0,MIN(1,VLOOKUP(8,h_nat_tbl,2,FALSE))),RAND()),0)</f>
        <v/>
      </c>
      <c r="J29">
        <f>IFERROR(_xlfn.BINOM.INV(MAX(0,ca!I28),MAX(0,MIN(1,VLOOKUP(9,h_nat_tbl,2,FALSE))),RAND()),0)</f>
        <v/>
      </c>
      <c r="K29">
        <f>IFERROR(_xlfn.BINOM.INV(MAX(0,ca!J28),MAX(0,MIN(1,VLOOKUP(10,h_nat_tbl,2,FALSE))),RAND()),0)</f>
        <v/>
      </c>
    </row>
    <row r="30">
      <c r="A30" t="n">
        <v>28</v>
      </c>
      <c r="B30">
        <f>IFERROR(_xlfn.BINOM.INV(MAX(0,0),MAX(0,MIN(1,VLOOKUP(1,h_nat_tbl,2,FALSE))),RAND()),0)</f>
        <v/>
      </c>
      <c r="C30">
        <f>IFERROR(_xlfn.BINOM.INV(MAX(0,ca!B29),MAX(0,MIN(1,VLOOKUP(2,h_nat_tbl,2,FALSE))),RAND()),0)</f>
        <v/>
      </c>
      <c r="D30">
        <f>IFERROR(_xlfn.BINOM.INV(MAX(0,ca!C29),MAX(0,MIN(1,VLOOKUP(3,h_nat_tbl,2,FALSE))),RAND()),0)</f>
        <v/>
      </c>
      <c r="E30">
        <f>IFERROR(_xlfn.BINOM.INV(MAX(0,ca!D29),MAX(0,MIN(1,VLOOKUP(4,h_nat_tbl,2,FALSE))),RAND()),0)</f>
        <v/>
      </c>
      <c r="F30">
        <f>IFERROR(_xlfn.BINOM.INV(MAX(0,ca!E29),MAX(0,MIN(1,VLOOKUP(5,h_nat_tbl,2,FALSE))),RAND()),0)</f>
        <v/>
      </c>
      <c r="G30">
        <f>IFERROR(_xlfn.BINOM.INV(MAX(0,ca!F29),MAX(0,MIN(1,VLOOKUP(6,h_nat_tbl,2,FALSE))),RAND()),0)</f>
        <v/>
      </c>
      <c r="H30">
        <f>IFERROR(_xlfn.BINOM.INV(MAX(0,ca!G29),MAX(0,MIN(1,VLOOKUP(7,h_nat_tbl,2,FALSE))),RAND()),0)</f>
        <v/>
      </c>
      <c r="I30">
        <f>IFERROR(_xlfn.BINOM.INV(MAX(0,ca!H29),MAX(0,MIN(1,VLOOKUP(8,h_nat_tbl,2,FALSE))),RAND()),0)</f>
        <v/>
      </c>
      <c r="J30">
        <f>IFERROR(_xlfn.BINOM.INV(MAX(0,ca!I29),MAX(0,MIN(1,VLOOKUP(9,h_nat_tbl,2,FALSE))),RAND()),0)</f>
        <v/>
      </c>
      <c r="K30">
        <f>IFERROR(_xlfn.BINOM.INV(MAX(0,ca!J29),MAX(0,MIN(1,VLOOKUP(10,h_nat_tbl,2,FALSE))),RAND()),0)</f>
        <v/>
      </c>
    </row>
    <row r="31">
      <c r="A31" t="n">
        <v>29</v>
      </c>
      <c r="B31">
        <f>IFERROR(_xlfn.BINOM.INV(MAX(0,0),MAX(0,MIN(1,VLOOKUP(1,h_nat_tbl,2,FALSE))),RAND()),0)</f>
        <v/>
      </c>
      <c r="C31">
        <f>IFERROR(_xlfn.BINOM.INV(MAX(0,ca!B30),MAX(0,MIN(1,VLOOKUP(2,h_nat_tbl,2,FALSE))),RAND()),0)</f>
        <v/>
      </c>
      <c r="D31">
        <f>IFERROR(_xlfn.BINOM.INV(MAX(0,ca!C30),MAX(0,MIN(1,VLOOKUP(3,h_nat_tbl,2,FALSE))),RAND()),0)</f>
        <v/>
      </c>
      <c r="E31">
        <f>IFERROR(_xlfn.BINOM.INV(MAX(0,ca!D30),MAX(0,MIN(1,VLOOKUP(4,h_nat_tbl,2,FALSE))),RAND()),0)</f>
        <v/>
      </c>
      <c r="F31">
        <f>IFERROR(_xlfn.BINOM.INV(MAX(0,ca!E30),MAX(0,MIN(1,VLOOKUP(5,h_nat_tbl,2,FALSE))),RAND()),0)</f>
        <v/>
      </c>
      <c r="G31">
        <f>IFERROR(_xlfn.BINOM.INV(MAX(0,ca!F30),MAX(0,MIN(1,VLOOKUP(6,h_nat_tbl,2,FALSE))),RAND()),0)</f>
        <v/>
      </c>
      <c r="H31">
        <f>IFERROR(_xlfn.BINOM.INV(MAX(0,ca!G30),MAX(0,MIN(1,VLOOKUP(7,h_nat_tbl,2,FALSE))),RAND()),0)</f>
        <v/>
      </c>
      <c r="I31">
        <f>IFERROR(_xlfn.BINOM.INV(MAX(0,ca!H30),MAX(0,MIN(1,VLOOKUP(8,h_nat_tbl,2,FALSE))),RAND()),0)</f>
        <v/>
      </c>
      <c r="J31">
        <f>IFERROR(_xlfn.BINOM.INV(MAX(0,ca!I30),MAX(0,MIN(1,VLOOKUP(9,h_nat_tbl,2,FALSE))),RAND()),0)</f>
        <v/>
      </c>
      <c r="K31">
        <f>IFERROR(_xlfn.BINOM.INV(MAX(0,ca!J30),MAX(0,MIN(1,VLOOKUP(10,h_nat_tbl,2,FALSE))),RAND()),0)</f>
        <v/>
      </c>
    </row>
    <row r="32">
      <c r="A32" t="n">
        <v>30</v>
      </c>
      <c r="B32">
        <f>IFERROR(_xlfn.BINOM.INV(MAX(0,0),MAX(0,MIN(1,VLOOKUP(1,h_nat_tbl,2,FALSE))),RAND()),0)</f>
        <v/>
      </c>
      <c r="C32">
        <f>IFERROR(_xlfn.BINOM.INV(MAX(0,ca!B31),MAX(0,MIN(1,VLOOKUP(2,h_nat_tbl,2,FALSE))),RAND()),0)</f>
        <v/>
      </c>
      <c r="D32">
        <f>IFERROR(_xlfn.BINOM.INV(MAX(0,ca!C31),MAX(0,MIN(1,VLOOKUP(3,h_nat_tbl,2,FALSE))),RAND()),0)</f>
        <v/>
      </c>
      <c r="E32">
        <f>IFERROR(_xlfn.BINOM.INV(MAX(0,ca!D31),MAX(0,MIN(1,VLOOKUP(4,h_nat_tbl,2,FALSE))),RAND()),0)</f>
        <v/>
      </c>
      <c r="F32">
        <f>IFERROR(_xlfn.BINOM.INV(MAX(0,ca!E31),MAX(0,MIN(1,VLOOKUP(5,h_nat_tbl,2,FALSE))),RAND()),0)</f>
        <v/>
      </c>
      <c r="G32">
        <f>IFERROR(_xlfn.BINOM.INV(MAX(0,ca!F31),MAX(0,MIN(1,VLOOKUP(6,h_nat_tbl,2,FALSE))),RAND()),0)</f>
        <v/>
      </c>
      <c r="H32">
        <f>IFERROR(_xlfn.BINOM.INV(MAX(0,ca!G31),MAX(0,MIN(1,VLOOKUP(7,h_nat_tbl,2,FALSE))),RAND()),0)</f>
        <v/>
      </c>
      <c r="I32">
        <f>IFERROR(_xlfn.BINOM.INV(MAX(0,ca!H31),MAX(0,MIN(1,VLOOKUP(8,h_nat_tbl,2,FALSE))),RAND()),0)</f>
        <v/>
      </c>
      <c r="J32">
        <f>IFERROR(_xlfn.BINOM.INV(MAX(0,ca!I31),MAX(0,MIN(1,VLOOKUP(9,h_nat_tbl,2,FALSE))),RAND()),0)</f>
        <v/>
      </c>
      <c r="K32">
        <f>IFERROR(_xlfn.BINOM.INV(MAX(0,ca!J31),MAX(0,MIN(1,VLOOKUP(10,h_nat_tbl,2,FALSE))),RAND()),0)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t</t>
        </is>
      </c>
      <c r="B1" s="1" t="inlineStr">
        <is>
          <t>Σ z</t>
        </is>
      </c>
      <c r="C1" s="1" t="inlineStr">
        <is>
          <t>Σ o</t>
        </is>
      </c>
      <c r="D1" s="1" t="inlineStr">
        <is>
          <t>Σ ca</t>
        </is>
      </c>
      <c r="E1" s="1" t="inlineStr">
        <is>
          <t>Σ cb</t>
        </is>
      </c>
      <c r="F1" s="1" t="inlineStr">
        <is>
          <t>Σ zakaźnych</t>
        </is>
      </c>
      <c r="G1" s="1" t="inlineStr">
        <is>
          <t>Σ żywych</t>
        </is>
      </c>
      <c r="H1" s="1" t="inlineStr">
        <is>
          <t>Nowe zgony</t>
        </is>
      </c>
      <c r="I1" s="1" t="inlineStr">
        <is>
          <t>Skumul. zgony</t>
        </is>
      </c>
      <c r="J1" s="1" t="inlineStr">
        <is>
          <t>Σ urodzeń</t>
        </is>
      </c>
      <c r="K1" s="1" t="inlineStr">
        <is>
          <t>Średni wiek</t>
        </is>
      </c>
    </row>
    <row r="2">
      <c r="A2" t="n">
        <v>0</v>
      </c>
      <c r="B2">
        <f>SUM(z!B2:K2)</f>
        <v/>
      </c>
      <c r="C2">
        <f>SUM(o!B2:K2)</f>
        <v/>
      </c>
      <c r="D2">
        <f>SUM(ca!B2:K2)</f>
        <v/>
      </c>
      <c r="E2">
        <f>SUM(cb!B2:K2)</f>
        <v/>
      </c>
      <c r="F2">
        <f>D2+E2</f>
        <v/>
      </c>
      <c r="G2">
        <f>B2+C2+D2+E2</f>
        <v/>
      </c>
      <c r="H2" t="n">
        <v>0</v>
      </c>
      <c r="I2" t="n">
        <v>0</v>
      </c>
      <c r="J2" t="n">
        <v>0</v>
      </c>
      <c r="K2">
        <f>IFERROR((1*(z!B2+o!B2+ca!B2+cb!B2)+2*(z!C2+o!C2+ca!C2+cb!C2)+3*(z!D2+o!D2+ca!D2+cb!D2)+4*(z!E2+o!E2+ca!E2+cb!E2)+5*(z!F2+o!F2+ca!F2+cb!F2)+6*(z!G2+o!G2+ca!G2+cb!G2)+7*(z!H2+o!H2+ca!H2+cb!H2)+8*(z!I2+o!I2+ca!I2+cb!I2)+9*(z!J2+o!J2+ca!J2+cb!J2)+10*(z!K2+o!K2+ca!K2+cb!K2))/G2,0)</f>
        <v/>
      </c>
    </row>
    <row r="3">
      <c r="A3" t="n">
        <v>1</v>
      </c>
      <c r="B3">
        <f>SUM(z!B3:K3)</f>
        <v/>
      </c>
      <c r="C3">
        <f>SUM(o!B3:K3)</f>
        <v/>
      </c>
      <c r="D3">
        <f>SUM(ca!B3:K3)</f>
        <v/>
      </c>
      <c r="E3">
        <f>SUM(cb!B3:K3)</f>
        <v/>
      </c>
      <c r="F3">
        <f>D3+E3</f>
        <v/>
      </c>
      <c r="G3">
        <f>B3+C3+D3+E3</f>
        <v/>
      </c>
      <c r="H3">
        <f>SUM(pu!B3:K3)+SUM(nat_z!B3:K3)+SUM(nat_o!B3:K3)+SUM(nat_ca!B3:K3)+SUM(nat_cb!B3:K3)</f>
        <v/>
      </c>
      <c r="I3">
        <f>I2+H3</f>
        <v/>
      </c>
      <c r="J3">
        <f>SUM(urodz!B3:K3)</f>
        <v/>
      </c>
      <c r="K3">
        <f>IFERROR((1*(z!B3+o!B3+ca!B3+cb!B3)+2*(z!C3+o!C3+ca!C3+cb!C3)+3*(z!D3+o!D3+ca!D3+cb!D3)+4*(z!E3+o!E3+ca!E3+cb!E3)+5*(z!F3+o!F3+ca!F3+cb!F3)+6*(z!G3+o!G3+ca!G3+cb!G3)+7*(z!H3+o!H3+ca!H3+cb!H3)+8*(z!I3+o!I3+ca!I3+cb!I3)+9*(z!J3+o!J3+ca!J3+cb!J3)+10*(z!K3+o!K3+ca!K3+cb!K3))/G3,0)</f>
        <v/>
      </c>
    </row>
    <row r="4">
      <c r="A4" t="n">
        <v>2</v>
      </c>
      <c r="B4">
        <f>SUM(z!B4:K4)</f>
        <v/>
      </c>
      <c r="C4">
        <f>SUM(o!B4:K4)</f>
        <v/>
      </c>
      <c r="D4">
        <f>SUM(ca!B4:K4)</f>
        <v/>
      </c>
      <c r="E4">
        <f>SUM(cb!B4:K4)</f>
        <v/>
      </c>
      <c r="F4">
        <f>D4+E4</f>
        <v/>
      </c>
      <c r="G4">
        <f>B4+C4+D4+E4</f>
        <v/>
      </c>
      <c r="H4">
        <f>SUM(pu!B4:K4)+SUM(nat_z!B4:K4)+SUM(nat_o!B4:K4)+SUM(nat_ca!B4:K4)+SUM(nat_cb!B4:K4)</f>
        <v/>
      </c>
      <c r="I4">
        <f>I3+H4</f>
        <v/>
      </c>
      <c r="J4">
        <f>SUM(urodz!B4:K4)</f>
        <v/>
      </c>
      <c r="K4">
        <f>IFERROR((1*(z!B4+o!B4+ca!B4+cb!B4)+2*(z!C4+o!C4+ca!C4+cb!C4)+3*(z!D4+o!D4+ca!D4+cb!D4)+4*(z!E4+o!E4+ca!E4+cb!E4)+5*(z!F4+o!F4+ca!F4+cb!F4)+6*(z!G4+o!G4+ca!G4+cb!G4)+7*(z!H4+o!H4+ca!H4+cb!H4)+8*(z!I4+o!I4+ca!I4+cb!I4)+9*(z!J4+o!J4+ca!J4+cb!J4)+10*(z!K4+o!K4+ca!K4+cb!K4))/G4,0)</f>
        <v/>
      </c>
    </row>
    <row r="5">
      <c r="A5" t="n">
        <v>3</v>
      </c>
      <c r="B5">
        <f>SUM(z!B5:K5)</f>
        <v/>
      </c>
      <c r="C5">
        <f>SUM(o!B5:K5)</f>
        <v/>
      </c>
      <c r="D5">
        <f>SUM(ca!B5:K5)</f>
        <v/>
      </c>
      <c r="E5">
        <f>SUM(cb!B5:K5)</f>
        <v/>
      </c>
      <c r="F5">
        <f>D5+E5</f>
        <v/>
      </c>
      <c r="G5">
        <f>B5+C5+D5+E5</f>
        <v/>
      </c>
      <c r="H5">
        <f>SUM(pu!B5:K5)+SUM(nat_z!B5:K5)+SUM(nat_o!B5:K5)+SUM(nat_ca!B5:K5)+SUM(nat_cb!B5:K5)</f>
        <v/>
      </c>
      <c r="I5">
        <f>I4+H5</f>
        <v/>
      </c>
      <c r="J5">
        <f>SUM(urodz!B5:K5)</f>
        <v/>
      </c>
      <c r="K5">
        <f>IFERROR((1*(z!B5+o!B5+ca!B5+cb!B5)+2*(z!C5+o!C5+ca!C5+cb!C5)+3*(z!D5+o!D5+ca!D5+cb!D5)+4*(z!E5+o!E5+ca!E5+cb!E5)+5*(z!F5+o!F5+ca!F5+cb!F5)+6*(z!G5+o!G5+ca!G5+cb!G5)+7*(z!H5+o!H5+ca!H5+cb!H5)+8*(z!I5+o!I5+ca!I5+cb!I5)+9*(z!J5+o!J5+ca!J5+cb!J5)+10*(z!K5+o!K5+ca!K5+cb!K5))/G5,0)</f>
        <v/>
      </c>
    </row>
    <row r="6">
      <c r="A6" t="n">
        <v>4</v>
      </c>
      <c r="B6">
        <f>SUM(z!B6:K6)</f>
        <v/>
      </c>
      <c r="C6">
        <f>SUM(o!B6:K6)</f>
        <v/>
      </c>
      <c r="D6">
        <f>SUM(ca!B6:K6)</f>
        <v/>
      </c>
      <c r="E6">
        <f>SUM(cb!B6:K6)</f>
        <v/>
      </c>
      <c r="F6">
        <f>D6+E6</f>
        <v/>
      </c>
      <c r="G6">
        <f>B6+C6+D6+E6</f>
        <v/>
      </c>
      <c r="H6">
        <f>SUM(pu!B6:K6)+SUM(nat_z!B6:K6)+SUM(nat_o!B6:K6)+SUM(nat_ca!B6:K6)+SUM(nat_cb!B6:K6)</f>
        <v/>
      </c>
      <c r="I6">
        <f>I5+H6</f>
        <v/>
      </c>
      <c r="J6">
        <f>SUM(urodz!B6:K6)</f>
        <v/>
      </c>
      <c r="K6">
        <f>IFERROR((1*(z!B6+o!B6+ca!B6+cb!B6)+2*(z!C6+o!C6+ca!C6+cb!C6)+3*(z!D6+o!D6+ca!D6+cb!D6)+4*(z!E6+o!E6+ca!E6+cb!E6)+5*(z!F6+o!F6+ca!F6+cb!F6)+6*(z!G6+o!G6+ca!G6+cb!G6)+7*(z!H6+o!H6+ca!H6+cb!H6)+8*(z!I6+o!I6+ca!I6+cb!I6)+9*(z!J6+o!J6+ca!J6+cb!J6)+10*(z!K6+o!K6+ca!K6+cb!K6))/G6,0)</f>
        <v/>
      </c>
    </row>
    <row r="7">
      <c r="A7" t="n">
        <v>5</v>
      </c>
      <c r="B7">
        <f>SUM(z!B7:K7)</f>
        <v/>
      </c>
      <c r="C7">
        <f>SUM(o!B7:K7)</f>
        <v/>
      </c>
      <c r="D7">
        <f>SUM(ca!B7:K7)</f>
        <v/>
      </c>
      <c r="E7">
        <f>SUM(cb!B7:K7)</f>
        <v/>
      </c>
      <c r="F7">
        <f>D7+E7</f>
        <v/>
      </c>
      <c r="G7">
        <f>B7+C7+D7+E7</f>
        <v/>
      </c>
      <c r="H7">
        <f>SUM(pu!B7:K7)+SUM(nat_z!B7:K7)+SUM(nat_o!B7:K7)+SUM(nat_ca!B7:K7)+SUM(nat_cb!B7:K7)</f>
        <v/>
      </c>
      <c r="I7">
        <f>I6+H7</f>
        <v/>
      </c>
      <c r="J7">
        <f>SUM(urodz!B7:K7)</f>
        <v/>
      </c>
      <c r="K7">
        <f>IFERROR((1*(z!B7+o!B7+ca!B7+cb!B7)+2*(z!C7+o!C7+ca!C7+cb!C7)+3*(z!D7+o!D7+ca!D7+cb!D7)+4*(z!E7+o!E7+ca!E7+cb!E7)+5*(z!F7+o!F7+ca!F7+cb!F7)+6*(z!G7+o!G7+ca!G7+cb!G7)+7*(z!H7+o!H7+ca!H7+cb!H7)+8*(z!I7+o!I7+ca!I7+cb!I7)+9*(z!J7+o!J7+ca!J7+cb!J7)+10*(z!K7+o!K7+ca!K7+cb!K7))/G7,0)</f>
        <v/>
      </c>
    </row>
    <row r="8">
      <c r="A8" t="n">
        <v>6</v>
      </c>
      <c r="B8">
        <f>SUM(z!B8:K8)</f>
        <v/>
      </c>
      <c r="C8">
        <f>SUM(o!B8:K8)</f>
        <v/>
      </c>
      <c r="D8">
        <f>SUM(ca!B8:K8)</f>
        <v/>
      </c>
      <c r="E8">
        <f>SUM(cb!B8:K8)</f>
        <v/>
      </c>
      <c r="F8">
        <f>D8+E8</f>
        <v/>
      </c>
      <c r="G8">
        <f>B8+C8+D8+E8</f>
        <v/>
      </c>
      <c r="H8">
        <f>SUM(pu!B8:K8)+SUM(nat_z!B8:K8)+SUM(nat_o!B8:K8)+SUM(nat_ca!B8:K8)+SUM(nat_cb!B8:K8)</f>
        <v/>
      </c>
      <c r="I8">
        <f>I7+H8</f>
        <v/>
      </c>
      <c r="J8">
        <f>SUM(urodz!B8:K8)</f>
        <v/>
      </c>
      <c r="K8">
        <f>IFERROR((1*(z!B8+o!B8+ca!B8+cb!B8)+2*(z!C8+o!C8+ca!C8+cb!C8)+3*(z!D8+o!D8+ca!D8+cb!D8)+4*(z!E8+o!E8+ca!E8+cb!E8)+5*(z!F8+o!F8+ca!F8+cb!F8)+6*(z!G8+o!G8+ca!G8+cb!G8)+7*(z!H8+o!H8+ca!H8+cb!H8)+8*(z!I8+o!I8+ca!I8+cb!I8)+9*(z!J8+o!J8+ca!J8+cb!J8)+10*(z!K8+o!K8+ca!K8+cb!K8))/G8,0)</f>
        <v/>
      </c>
    </row>
    <row r="9">
      <c r="A9" t="n">
        <v>7</v>
      </c>
      <c r="B9">
        <f>SUM(z!B9:K9)</f>
        <v/>
      </c>
      <c r="C9">
        <f>SUM(o!B9:K9)</f>
        <v/>
      </c>
      <c r="D9">
        <f>SUM(ca!B9:K9)</f>
        <v/>
      </c>
      <c r="E9">
        <f>SUM(cb!B9:K9)</f>
        <v/>
      </c>
      <c r="F9">
        <f>D9+E9</f>
        <v/>
      </c>
      <c r="G9">
        <f>B9+C9+D9+E9</f>
        <v/>
      </c>
      <c r="H9">
        <f>SUM(pu!B9:K9)+SUM(nat_z!B9:K9)+SUM(nat_o!B9:K9)+SUM(nat_ca!B9:K9)+SUM(nat_cb!B9:K9)</f>
        <v/>
      </c>
      <c r="I9">
        <f>I8+H9</f>
        <v/>
      </c>
      <c r="J9">
        <f>SUM(urodz!B9:K9)</f>
        <v/>
      </c>
      <c r="K9">
        <f>IFERROR((1*(z!B9+o!B9+ca!B9+cb!B9)+2*(z!C9+o!C9+ca!C9+cb!C9)+3*(z!D9+o!D9+ca!D9+cb!D9)+4*(z!E9+o!E9+ca!E9+cb!E9)+5*(z!F9+o!F9+ca!F9+cb!F9)+6*(z!G9+o!G9+ca!G9+cb!G9)+7*(z!H9+o!H9+ca!H9+cb!H9)+8*(z!I9+o!I9+ca!I9+cb!I9)+9*(z!J9+o!J9+ca!J9+cb!J9)+10*(z!K9+o!K9+ca!K9+cb!K9))/G9,0)</f>
        <v/>
      </c>
    </row>
    <row r="10">
      <c r="A10" t="n">
        <v>8</v>
      </c>
      <c r="B10">
        <f>SUM(z!B10:K10)</f>
        <v/>
      </c>
      <c r="C10">
        <f>SUM(o!B10:K10)</f>
        <v/>
      </c>
      <c r="D10">
        <f>SUM(ca!B10:K10)</f>
        <v/>
      </c>
      <c r="E10">
        <f>SUM(cb!B10:K10)</f>
        <v/>
      </c>
      <c r="F10">
        <f>D10+E10</f>
        <v/>
      </c>
      <c r="G10">
        <f>B10+C10+D10+E10</f>
        <v/>
      </c>
      <c r="H10">
        <f>SUM(pu!B10:K10)+SUM(nat_z!B10:K10)+SUM(nat_o!B10:K10)+SUM(nat_ca!B10:K10)+SUM(nat_cb!B10:K10)</f>
        <v/>
      </c>
      <c r="I10">
        <f>I9+H10</f>
        <v/>
      </c>
      <c r="J10">
        <f>SUM(urodz!B10:K10)</f>
        <v/>
      </c>
      <c r="K10">
        <f>IFERROR((1*(z!B10+o!B10+ca!B10+cb!B10)+2*(z!C10+o!C10+ca!C10+cb!C10)+3*(z!D10+o!D10+ca!D10+cb!D10)+4*(z!E10+o!E10+ca!E10+cb!E10)+5*(z!F10+o!F10+ca!F10+cb!F10)+6*(z!G10+o!G10+ca!G10+cb!G10)+7*(z!H10+o!H10+ca!H10+cb!H10)+8*(z!I10+o!I10+ca!I10+cb!I10)+9*(z!J10+o!J10+ca!J10+cb!J10)+10*(z!K10+o!K10+ca!K10+cb!K10))/G10,0)</f>
        <v/>
      </c>
    </row>
    <row r="11">
      <c r="A11" t="n">
        <v>9</v>
      </c>
      <c r="B11">
        <f>SUM(z!B11:K11)</f>
        <v/>
      </c>
      <c r="C11">
        <f>SUM(o!B11:K11)</f>
        <v/>
      </c>
      <c r="D11">
        <f>SUM(ca!B11:K11)</f>
        <v/>
      </c>
      <c r="E11">
        <f>SUM(cb!B11:K11)</f>
        <v/>
      </c>
      <c r="F11">
        <f>D11+E11</f>
        <v/>
      </c>
      <c r="G11">
        <f>B11+C11+D11+E11</f>
        <v/>
      </c>
      <c r="H11">
        <f>SUM(pu!B11:K11)+SUM(nat_z!B11:K11)+SUM(nat_o!B11:K11)+SUM(nat_ca!B11:K11)+SUM(nat_cb!B11:K11)</f>
        <v/>
      </c>
      <c r="I11">
        <f>I10+H11</f>
        <v/>
      </c>
      <c r="J11">
        <f>SUM(urodz!B11:K11)</f>
        <v/>
      </c>
      <c r="K11">
        <f>IFERROR((1*(z!B11+o!B11+ca!B11+cb!B11)+2*(z!C11+o!C11+ca!C11+cb!C11)+3*(z!D11+o!D11+ca!D11+cb!D11)+4*(z!E11+o!E11+ca!E11+cb!E11)+5*(z!F11+o!F11+ca!F11+cb!F11)+6*(z!G11+o!G11+ca!G11+cb!G11)+7*(z!H11+o!H11+ca!H11+cb!H11)+8*(z!I11+o!I11+ca!I11+cb!I11)+9*(z!J11+o!J11+ca!J11+cb!J11)+10*(z!K11+o!K11+ca!K11+cb!K11))/G11,0)</f>
        <v/>
      </c>
    </row>
    <row r="12">
      <c r="A12" t="n">
        <v>10</v>
      </c>
      <c r="B12">
        <f>SUM(z!B12:K12)</f>
        <v/>
      </c>
      <c r="C12">
        <f>SUM(o!B12:K12)</f>
        <v/>
      </c>
      <c r="D12">
        <f>SUM(ca!B12:K12)</f>
        <v/>
      </c>
      <c r="E12">
        <f>SUM(cb!B12:K12)</f>
        <v/>
      </c>
      <c r="F12">
        <f>D12+E12</f>
        <v/>
      </c>
      <c r="G12">
        <f>B12+C12+D12+E12</f>
        <v/>
      </c>
      <c r="H12">
        <f>SUM(pu!B12:K12)+SUM(nat_z!B12:K12)+SUM(nat_o!B12:K12)+SUM(nat_ca!B12:K12)+SUM(nat_cb!B12:K12)</f>
        <v/>
      </c>
      <c r="I12">
        <f>I11+H12</f>
        <v/>
      </c>
      <c r="J12">
        <f>SUM(urodz!B12:K12)</f>
        <v/>
      </c>
      <c r="K12">
        <f>IFERROR((1*(z!B12+o!B12+ca!B12+cb!B12)+2*(z!C12+o!C12+ca!C12+cb!C12)+3*(z!D12+o!D12+ca!D12+cb!D12)+4*(z!E12+o!E12+ca!E12+cb!E12)+5*(z!F12+o!F12+ca!F12+cb!F12)+6*(z!G12+o!G12+ca!G12+cb!G12)+7*(z!H12+o!H12+ca!H12+cb!H12)+8*(z!I12+o!I12+ca!I12+cb!I12)+9*(z!J12+o!J12+ca!J12+cb!J12)+10*(z!K12+o!K12+ca!K12+cb!K12))/G12,0)</f>
        <v/>
      </c>
    </row>
    <row r="13">
      <c r="A13" t="n">
        <v>11</v>
      </c>
      <c r="B13">
        <f>SUM(z!B13:K13)</f>
        <v/>
      </c>
      <c r="C13">
        <f>SUM(o!B13:K13)</f>
        <v/>
      </c>
      <c r="D13">
        <f>SUM(ca!B13:K13)</f>
        <v/>
      </c>
      <c r="E13">
        <f>SUM(cb!B13:K13)</f>
        <v/>
      </c>
      <c r="F13">
        <f>D13+E13</f>
        <v/>
      </c>
      <c r="G13">
        <f>B13+C13+D13+E13</f>
        <v/>
      </c>
      <c r="H13">
        <f>SUM(pu!B13:K13)+SUM(nat_z!B13:K13)+SUM(nat_o!B13:K13)+SUM(nat_ca!B13:K13)+SUM(nat_cb!B13:K13)</f>
        <v/>
      </c>
      <c r="I13">
        <f>I12+H13</f>
        <v/>
      </c>
      <c r="J13">
        <f>SUM(urodz!B13:K13)</f>
        <v/>
      </c>
      <c r="K13">
        <f>IFERROR((1*(z!B13+o!B13+ca!B13+cb!B13)+2*(z!C13+o!C13+ca!C13+cb!C13)+3*(z!D13+o!D13+ca!D13+cb!D13)+4*(z!E13+o!E13+ca!E13+cb!E13)+5*(z!F13+o!F13+ca!F13+cb!F13)+6*(z!G13+o!G13+ca!G13+cb!G13)+7*(z!H13+o!H13+ca!H13+cb!H13)+8*(z!I13+o!I13+ca!I13+cb!I13)+9*(z!J13+o!J13+ca!J13+cb!J13)+10*(z!K13+o!K13+ca!K13+cb!K13))/G13,0)</f>
        <v/>
      </c>
    </row>
    <row r="14">
      <c r="A14" t="n">
        <v>12</v>
      </c>
      <c r="B14">
        <f>SUM(z!B14:K14)</f>
        <v/>
      </c>
      <c r="C14">
        <f>SUM(o!B14:K14)</f>
        <v/>
      </c>
      <c r="D14">
        <f>SUM(ca!B14:K14)</f>
        <v/>
      </c>
      <c r="E14">
        <f>SUM(cb!B14:K14)</f>
        <v/>
      </c>
      <c r="F14">
        <f>D14+E14</f>
        <v/>
      </c>
      <c r="G14">
        <f>B14+C14+D14+E14</f>
        <v/>
      </c>
      <c r="H14">
        <f>SUM(pu!B14:K14)+SUM(nat_z!B14:K14)+SUM(nat_o!B14:K14)+SUM(nat_ca!B14:K14)+SUM(nat_cb!B14:K14)</f>
        <v/>
      </c>
      <c r="I14">
        <f>I13+H14</f>
        <v/>
      </c>
      <c r="J14">
        <f>SUM(urodz!B14:K14)</f>
        <v/>
      </c>
      <c r="K14">
        <f>IFERROR((1*(z!B14+o!B14+ca!B14+cb!B14)+2*(z!C14+o!C14+ca!C14+cb!C14)+3*(z!D14+o!D14+ca!D14+cb!D14)+4*(z!E14+o!E14+ca!E14+cb!E14)+5*(z!F14+o!F14+ca!F14+cb!F14)+6*(z!G14+o!G14+ca!G14+cb!G14)+7*(z!H14+o!H14+ca!H14+cb!H14)+8*(z!I14+o!I14+ca!I14+cb!I14)+9*(z!J14+o!J14+ca!J14+cb!J14)+10*(z!K14+o!K14+ca!K14+cb!K14))/G14,0)</f>
        <v/>
      </c>
    </row>
    <row r="15">
      <c r="A15" t="n">
        <v>13</v>
      </c>
      <c r="B15">
        <f>SUM(z!B15:K15)</f>
        <v/>
      </c>
      <c r="C15">
        <f>SUM(o!B15:K15)</f>
        <v/>
      </c>
      <c r="D15">
        <f>SUM(ca!B15:K15)</f>
        <v/>
      </c>
      <c r="E15">
        <f>SUM(cb!B15:K15)</f>
        <v/>
      </c>
      <c r="F15">
        <f>D15+E15</f>
        <v/>
      </c>
      <c r="G15">
        <f>B15+C15+D15+E15</f>
        <v/>
      </c>
      <c r="H15">
        <f>SUM(pu!B15:K15)+SUM(nat_z!B15:K15)+SUM(nat_o!B15:K15)+SUM(nat_ca!B15:K15)+SUM(nat_cb!B15:K15)</f>
        <v/>
      </c>
      <c r="I15">
        <f>I14+H15</f>
        <v/>
      </c>
      <c r="J15">
        <f>SUM(urodz!B15:K15)</f>
        <v/>
      </c>
      <c r="K15">
        <f>IFERROR((1*(z!B15+o!B15+ca!B15+cb!B15)+2*(z!C15+o!C15+ca!C15+cb!C15)+3*(z!D15+o!D15+ca!D15+cb!D15)+4*(z!E15+o!E15+ca!E15+cb!E15)+5*(z!F15+o!F15+ca!F15+cb!F15)+6*(z!G15+o!G15+ca!G15+cb!G15)+7*(z!H15+o!H15+ca!H15+cb!H15)+8*(z!I15+o!I15+ca!I15+cb!I15)+9*(z!J15+o!J15+ca!J15+cb!J15)+10*(z!K15+o!K15+ca!K15+cb!K15))/G15,0)</f>
        <v/>
      </c>
    </row>
    <row r="16">
      <c r="A16" t="n">
        <v>14</v>
      </c>
      <c r="B16">
        <f>SUM(z!B16:K16)</f>
        <v/>
      </c>
      <c r="C16">
        <f>SUM(o!B16:K16)</f>
        <v/>
      </c>
      <c r="D16">
        <f>SUM(ca!B16:K16)</f>
        <v/>
      </c>
      <c r="E16">
        <f>SUM(cb!B16:K16)</f>
        <v/>
      </c>
      <c r="F16">
        <f>D16+E16</f>
        <v/>
      </c>
      <c r="G16">
        <f>B16+C16+D16+E16</f>
        <v/>
      </c>
      <c r="H16">
        <f>SUM(pu!B16:K16)+SUM(nat_z!B16:K16)+SUM(nat_o!B16:K16)+SUM(nat_ca!B16:K16)+SUM(nat_cb!B16:K16)</f>
        <v/>
      </c>
      <c r="I16">
        <f>I15+H16</f>
        <v/>
      </c>
      <c r="J16">
        <f>SUM(urodz!B16:K16)</f>
        <v/>
      </c>
      <c r="K16">
        <f>IFERROR((1*(z!B16+o!B16+ca!B16+cb!B16)+2*(z!C16+o!C16+ca!C16+cb!C16)+3*(z!D16+o!D16+ca!D16+cb!D16)+4*(z!E16+o!E16+ca!E16+cb!E16)+5*(z!F16+o!F16+ca!F16+cb!F16)+6*(z!G16+o!G16+ca!G16+cb!G16)+7*(z!H16+o!H16+ca!H16+cb!H16)+8*(z!I16+o!I16+ca!I16+cb!I16)+9*(z!J16+o!J16+ca!J16+cb!J16)+10*(z!K16+o!K16+ca!K16+cb!K16))/G16,0)</f>
        <v/>
      </c>
    </row>
    <row r="17">
      <c r="A17" t="n">
        <v>15</v>
      </c>
      <c r="B17">
        <f>SUM(z!B17:K17)</f>
        <v/>
      </c>
      <c r="C17">
        <f>SUM(o!B17:K17)</f>
        <v/>
      </c>
      <c r="D17">
        <f>SUM(ca!B17:K17)</f>
        <v/>
      </c>
      <c r="E17">
        <f>SUM(cb!B17:K17)</f>
        <v/>
      </c>
      <c r="F17">
        <f>D17+E17</f>
        <v/>
      </c>
      <c r="G17">
        <f>B17+C17+D17+E17</f>
        <v/>
      </c>
      <c r="H17">
        <f>SUM(pu!B17:K17)+SUM(nat_z!B17:K17)+SUM(nat_o!B17:K17)+SUM(nat_ca!B17:K17)+SUM(nat_cb!B17:K17)</f>
        <v/>
      </c>
      <c r="I17">
        <f>I16+H17</f>
        <v/>
      </c>
      <c r="J17">
        <f>SUM(urodz!B17:K17)</f>
        <v/>
      </c>
      <c r="K17">
        <f>IFERROR((1*(z!B17+o!B17+ca!B17+cb!B17)+2*(z!C17+o!C17+ca!C17+cb!C17)+3*(z!D17+o!D17+ca!D17+cb!D17)+4*(z!E17+o!E17+ca!E17+cb!E17)+5*(z!F17+o!F17+ca!F17+cb!F17)+6*(z!G17+o!G17+ca!G17+cb!G17)+7*(z!H17+o!H17+ca!H17+cb!H17)+8*(z!I17+o!I17+ca!I17+cb!I17)+9*(z!J17+o!J17+ca!J17+cb!J17)+10*(z!K17+o!K17+ca!K17+cb!K17))/G17,0)</f>
        <v/>
      </c>
    </row>
    <row r="18">
      <c r="A18" t="n">
        <v>16</v>
      </c>
      <c r="B18">
        <f>SUM(z!B18:K18)</f>
        <v/>
      </c>
      <c r="C18">
        <f>SUM(o!B18:K18)</f>
        <v/>
      </c>
      <c r="D18">
        <f>SUM(ca!B18:K18)</f>
        <v/>
      </c>
      <c r="E18">
        <f>SUM(cb!B18:K18)</f>
        <v/>
      </c>
      <c r="F18">
        <f>D18+E18</f>
        <v/>
      </c>
      <c r="G18">
        <f>B18+C18+D18+E18</f>
        <v/>
      </c>
      <c r="H18">
        <f>SUM(pu!B18:K18)+SUM(nat_z!B18:K18)+SUM(nat_o!B18:K18)+SUM(nat_ca!B18:K18)+SUM(nat_cb!B18:K18)</f>
        <v/>
      </c>
      <c r="I18">
        <f>I17+H18</f>
        <v/>
      </c>
      <c r="J18">
        <f>SUM(urodz!B18:K18)</f>
        <v/>
      </c>
      <c r="K18">
        <f>IFERROR((1*(z!B18+o!B18+ca!B18+cb!B18)+2*(z!C18+o!C18+ca!C18+cb!C18)+3*(z!D18+o!D18+ca!D18+cb!D18)+4*(z!E18+o!E18+ca!E18+cb!E18)+5*(z!F18+o!F18+ca!F18+cb!F18)+6*(z!G18+o!G18+ca!G18+cb!G18)+7*(z!H18+o!H18+ca!H18+cb!H18)+8*(z!I18+o!I18+ca!I18+cb!I18)+9*(z!J18+o!J18+ca!J18+cb!J18)+10*(z!K18+o!K18+ca!K18+cb!K18))/G18,0)</f>
        <v/>
      </c>
    </row>
    <row r="19">
      <c r="A19" t="n">
        <v>17</v>
      </c>
      <c r="B19">
        <f>SUM(z!B19:K19)</f>
        <v/>
      </c>
      <c r="C19">
        <f>SUM(o!B19:K19)</f>
        <v/>
      </c>
      <c r="D19">
        <f>SUM(ca!B19:K19)</f>
        <v/>
      </c>
      <c r="E19">
        <f>SUM(cb!B19:K19)</f>
        <v/>
      </c>
      <c r="F19">
        <f>D19+E19</f>
        <v/>
      </c>
      <c r="G19">
        <f>B19+C19+D19+E19</f>
        <v/>
      </c>
      <c r="H19">
        <f>SUM(pu!B19:K19)+SUM(nat_z!B19:K19)+SUM(nat_o!B19:K19)+SUM(nat_ca!B19:K19)+SUM(nat_cb!B19:K19)</f>
        <v/>
      </c>
      <c r="I19">
        <f>I18+H19</f>
        <v/>
      </c>
      <c r="J19">
        <f>SUM(urodz!B19:K19)</f>
        <v/>
      </c>
      <c r="K19">
        <f>IFERROR((1*(z!B19+o!B19+ca!B19+cb!B19)+2*(z!C19+o!C19+ca!C19+cb!C19)+3*(z!D19+o!D19+ca!D19+cb!D19)+4*(z!E19+o!E19+ca!E19+cb!E19)+5*(z!F19+o!F19+ca!F19+cb!F19)+6*(z!G19+o!G19+ca!G19+cb!G19)+7*(z!H19+o!H19+ca!H19+cb!H19)+8*(z!I19+o!I19+ca!I19+cb!I19)+9*(z!J19+o!J19+ca!J19+cb!J19)+10*(z!K19+o!K19+ca!K19+cb!K19))/G19,0)</f>
        <v/>
      </c>
    </row>
    <row r="20">
      <c r="A20" t="n">
        <v>18</v>
      </c>
      <c r="B20">
        <f>SUM(z!B20:K20)</f>
        <v/>
      </c>
      <c r="C20">
        <f>SUM(o!B20:K20)</f>
        <v/>
      </c>
      <c r="D20">
        <f>SUM(ca!B20:K20)</f>
        <v/>
      </c>
      <c r="E20">
        <f>SUM(cb!B20:K20)</f>
        <v/>
      </c>
      <c r="F20">
        <f>D20+E20</f>
        <v/>
      </c>
      <c r="G20">
        <f>B20+C20+D20+E20</f>
        <v/>
      </c>
      <c r="H20">
        <f>SUM(pu!B20:K20)+SUM(nat_z!B20:K20)+SUM(nat_o!B20:K20)+SUM(nat_ca!B20:K20)+SUM(nat_cb!B20:K20)</f>
        <v/>
      </c>
      <c r="I20">
        <f>I19+H20</f>
        <v/>
      </c>
      <c r="J20">
        <f>SUM(urodz!B20:K20)</f>
        <v/>
      </c>
      <c r="K20">
        <f>IFERROR((1*(z!B20+o!B20+ca!B20+cb!B20)+2*(z!C20+o!C20+ca!C20+cb!C20)+3*(z!D20+o!D20+ca!D20+cb!D20)+4*(z!E20+o!E20+ca!E20+cb!E20)+5*(z!F20+o!F20+ca!F20+cb!F20)+6*(z!G20+o!G20+ca!G20+cb!G20)+7*(z!H20+o!H20+ca!H20+cb!H20)+8*(z!I20+o!I20+ca!I20+cb!I20)+9*(z!J20+o!J20+ca!J20+cb!J20)+10*(z!K20+o!K20+ca!K20+cb!K20))/G20,0)</f>
        <v/>
      </c>
    </row>
    <row r="21">
      <c r="A21" t="n">
        <v>19</v>
      </c>
      <c r="B21">
        <f>SUM(z!B21:K21)</f>
        <v/>
      </c>
      <c r="C21">
        <f>SUM(o!B21:K21)</f>
        <v/>
      </c>
      <c r="D21">
        <f>SUM(ca!B21:K21)</f>
        <v/>
      </c>
      <c r="E21">
        <f>SUM(cb!B21:K21)</f>
        <v/>
      </c>
      <c r="F21">
        <f>D21+E21</f>
        <v/>
      </c>
      <c r="G21">
        <f>B21+C21+D21+E21</f>
        <v/>
      </c>
      <c r="H21">
        <f>SUM(pu!B21:K21)+SUM(nat_z!B21:K21)+SUM(nat_o!B21:K21)+SUM(nat_ca!B21:K21)+SUM(nat_cb!B21:K21)</f>
        <v/>
      </c>
      <c r="I21">
        <f>I20+H21</f>
        <v/>
      </c>
      <c r="J21">
        <f>SUM(urodz!B21:K21)</f>
        <v/>
      </c>
      <c r="K21">
        <f>IFERROR((1*(z!B21+o!B21+ca!B21+cb!B21)+2*(z!C21+o!C21+ca!C21+cb!C21)+3*(z!D21+o!D21+ca!D21+cb!D21)+4*(z!E21+o!E21+ca!E21+cb!E21)+5*(z!F21+o!F21+ca!F21+cb!F21)+6*(z!G21+o!G21+ca!G21+cb!G21)+7*(z!H21+o!H21+ca!H21+cb!H21)+8*(z!I21+o!I21+ca!I21+cb!I21)+9*(z!J21+o!J21+ca!J21+cb!J21)+10*(z!K21+o!K21+ca!K21+cb!K21))/G21,0)</f>
        <v/>
      </c>
    </row>
    <row r="22">
      <c r="A22" t="n">
        <v>20</v>
      </c>
      <c r="B22">
        <f>SUM(z!B22:K22)</f>
        <v/>
      </c>
      <c r="C22">
        <f>SUM(o!B22:K22)</f>
        <v/>
      </c>
      <c r="D22">
        <f>SUM(ca!B22:K22)</f>
        <v/>
      </c>
      <c r="E22">
        <f>SUM(cb!B22:K22)</f>
        <v/>
      </c>
      <c r="F22">
        <f>D22+E22</f>
        <v/>
      </c>
      <c r="G22">
        <f>B22+C22+D22+E22</f>
        <v/>
      </c>
      <c r="H22">
        <f>SUM(pu!B22:K22)+SUM(nat_z!B22:K22)+SUM(nat_o!B22:K22)+SUM(nat_ca!B22:K22)+SUM(nat_cb!B22:K22)</f>
        <v/>
      </c>
      <c r="I22">
        <f>I21+H22</f>
        <v/>
      </c>
      <c r="J22">
        <f>SUM(urodz!B22:K22)</f>
        <v/>
      </c>
      <c r="K22">
        <f>IFERROR((1*(z!B22+o!B22+ca!B22+cb!B22)+2*(z!C22+o!C22+ca!C22+cb!C22)+3*(z!D22+o!D22+ca!D22+cb!D22)+4*(z!E22+o!E22+ca!E22+cb!E22)+5*(z!F22+o!F22+ca!F22+cb!F22)+6*(z!G22+o!G22+ca!G22+cb!G22)+7*(z!H22+o!H22+ca!H22+cb!H22)+8*(z!I22+o!I22+ca!I22+cb!I22)+9*(z!J22+o!J22+ca!J22+cb!J22)+10*(z!K22+o!K22+ca!K22+cb!K22))/G22,0)</f>
        <v/>
      </c>
    </row>
    <row r="23">
      <c r="A23" t="n">
        <v>21</v>
      </c>
      <c r="B23">
        <f>SUM(z!B23:K23)</f>
        <v/>
      </c>
      <c r="C23">
        <f>SUM(o!B23:K23)</f>
        <v/>
      </c>
      <c r="D23">
        <f>SUM(ca!B23:K23)</f>
        <v/>
      </c>
      <c r="E23">
        <f>SUM(cb!B23:K23)</f>
        <v/>
      </c>
      <c r="F23">
        <f>D23+E23</f>
        <v/>
      </c>
      <c r="G23">
        <f>B23+C23+D23+E23</f>
        <v/>
      </c>
      <c r="H23">
        <f>SUM(pu!B23:K23)+SUM(nat_z!B23:K23)+SUM(nat_o!B23:K23)+SUM(nat_ca!B23:K23)+SUM(nat_cb!B23:K23)</f>
        <v/>
      </c>
      <c r="I23">
        <f>I22+H23</f>
        <v/>
      </c>
      <c r="J23">
        <f>SUM(urodz!B23:K23)</f>
        <v/>
      </c>
      <c r="K23">
        <f>IFERROR((1*(z!B23+o!B23+ca!B23+cb!B23)+2*(z!C23+o!C23+ca!C23+cb!C23)+3*(z!D23+o!D23+ca!D23+cb!D23)+4*(z!E23+o!E23+ca!E23+cb!E23)+5*(z!F23+o!F23+ca!F23+cb!F23)+6*(z!G23+o!G23+ca!G23+cb!G23)+7*(z!H23+o!H23+ca!H23+cb!H23)+8*(z!I23+o!I23+ca!I23+cb!I23)+9*(z!J23+o!J23+ca!J23+cb!J23)+10*(z!K23+o!K23+ca!K23+cb!K23))/G23,0)</f>
        <v/>
      </c>
    </row>
    <row r="24">
      <c r="A24" t="n">
        <v>22</v>
      </c>
      <c r="B24">
        <f>SUM(z!B24:K24)</f>
        <v/>
      </c>
      <c r="C24">
        <f>SUM(o!B24:K24)</f>
        <v/>
      </c>
      <c r="D24">
        <f>SUM(ca!B24:K24)</f>
        <v/>
      </c>
      <c r="E24">
        <f>SUM(cb!B24:K24)</f>
        <v/>
      </c>
      <c r="F24">
        <f>D24+E24</f>
        <v/>
      </c>
      <c r="G24">
        <f>B24+C24+D24+E24</f>
        <v/>
      </c>
      <c r="H24">
        <f>SUM(pu!B24:K24)+SUM(nat_z!B24:K24)+SUM(nat_o!B24:K24)+SUM(nat_ca!B24:K24)+SUM(nat_cb!B24:K24)</f>
        <v/>
      </c>
      <c r="I24">
        <f>I23+H24</f>
        <v/>
      </c>
      <c r="J24">
        <f>SUM(urodz!B24:K24)</f>
        <v/>
      </c>
      <c r="K24">
        <f>IFERROR((1*(z!B24+o!B24+ca!B24+cb!B24)+2*(z!C24+o!C24+ca!C24+cb!C24)+3*(z!D24+o!D24+ca!D24+cb!D24)+4*(z!E24+o!E24+ca!E24+cb!E24)+5*(z!F24+o!F24+ca!F24+cb!F24)+6*(z!G24+o!G24+ca!G24+cb!G24)+7*(z!H24+o!H24+ca!H24+cb!H24)+8*(z!I24+o!I24+ca!I24+cb!I24)+9*(z!J24+o!J24+ca!J24+cb!J24)+10*(z!K24+o!K24+ca!K24+cb!K24))/G24,0)</f>
        <v/>
      </c>
    </row>
    <row r="25">
      <c r="A25" t="n">
        <v>23</v>
      </c>
      <c r="B25">
        <f>SUM(z!B25:K25)</f>
        <v/>
      </c>
      <c r="C25">
        <f>SUM(o!B25:K25)</f>
        <v/>
      </c>
      <c r="D25">
        <f>SUM(ca!B25:K25)</f>
        <v/>
      </c>
      <c r="E25">
        <f>SUM(cb!B25:K25)</f>
        <v/>
      </c>
      <c r="F25">
        <f>D25+E25</f>
        <v/>
      </c>
      <c r="G25">
        <f>B25+C25+D25+E25</f>
        <v/>
      </c>
      <c r="H25">
        <f>SUM(pu!B25:K25)+SUM(nat_z!B25:K25)+SUM(nat_o!B25:K25)+SUM(nat_ca!B25:K25)+SUM(nat_cb!B25:K25)</f>
        <v/>
      </c>
      <c r="I25">
        <f>I24+H25</f>
        <v/>
      </c>
      <c r="J25">
        <f>SUM(urodz!B25:K25)</f>
        <v/>
      </c>
      <c r="K25">
        <f>IFERROR((1*(z!B25+o!B25+ca!B25+cb!B25)+2*(z!C25+o!C25+ca!C25+cb!C25)+3*(z!D25+o!D25+ca!D25+cb!D25)+4*(z!E25+o!E25+ca!E25+cb!E25)+5*(z!F25+o!F25+ca!F25+cb!F25)+6*(z!G25+o!G25+ca!G25+cb!G25)+7*(z!H25+o!H25+ca!H25+cb!H25)+8*(z!I25+o!I25+ca!I25+cb!I25)+9*(z!J25+o!J25+ca!J25+cb!J25)+10*(z!K25+o!K25+ca!K25+cb!K25))/G25,0)</f>
        <v/>
      </c>
    </row>
    <row r="26">
      <c r="A26" t="n">
        <v>24</v>
      </c>
      <c r="B26">
        <f>SUM(z!B26:K26)</f>
        <v/>
      </c>
      <c r="C26">
        <f>SUM(o!B26:K26)</f>
        <v/>
      </c>
      <c r="D26">
        <f>SUM(ca!B26:K26)</f>
        <v/>
      </c>
      <c r="E26">
        <f>SUM(cb!B26:K26)</f>
        <v/>
      </c>
      <c r="F26">
        <f>D26+E26</f>
        <v/>
      </c>
      <c r="G26">
        <f>B26+C26+D26+E26</f>
        <v/>
      </c>
      <c r="H26">
        <f>SUM(pu!B26:K26)+SUM(nat_z!B26:K26)+SUM(nat_o!B26:K26)+SUM(nat_ca!B26:K26)+SUM(nat_cb!B26:K26)</f>
        <v/>
      </c>
      <c r="I26">
        <f>I25+H26</f>
        <v/>
      </c>
      <c r="J26">
        <f>SUM(urodz!B26:K26)</f>
        <v/>
      </c>
      <c r="K26">
        <f>IFERROR((1*(z!B26+o!B26+ca!B26+cb!B26)+2*(z!C26+o!C26+ca!C26+cb!C26)+3*(z!D26+o!D26+ca!D26+cb!D26)+4*(z!E26+o!E26+ca!E26+cb!E26)+5*(z!F26+o!F26+ca!F26+cb!F26)+6*(z!G26+o!G26+ca!G26+cb!G26)+7*(z!H26+o!H26+ca!H26+cb!H26)+8*(z!I26+o!I26+ca!I26+cb!I26)+9*(z!J26+o!J26+ca!J26+cb!J26)+10*(z!K26+o!K26+ca!K26+cb!K26))/G26,0)</f>
        <v/>
      </c>
    </row>
    <row r="27">
      <c r="A27" t="n">
        <v>25</v>
      </c>
      <c r="B27">
        <f>SUM(z!B27:K27)</f>
        <v/>
      </c>
      <c r="C27">
        <f>SUM(o!B27:K27)</f>
        <v/>
      </c>
      <c r="D27">
        <f>SUM(ca!B27:K27)</f>
        <v/>
      </c>
      <c r="E27">
        <f>SUM(cb!B27:K27)</f>
        <v/>
      </c>
      <c r="F27">
        <f>D27+E27</f>
        <v/>
      </c>
      <c r="G27">
        <f>B27+C27+D27+E27</f>
        <v/>
      </c>
      <c r="H27">
        <f>SUM(pu!B27:K27)+SUM(nat_z!B27:K27)+SUM(nat_o!B27:K27)+SUM(nat_ca!B27:K27)+SUM(nat_cb!B27:K27)</f>
        <v/>
      </c>
      <c r="I27">
        <f>I26+H27</f>
        <v/>
      </c>
      <c r="J27">
        <f>SUM(urodz!B27:K27)</f>
        <v/>
      </c>
      <c r="K27">
        <f>IFERROR((1*(z!B27+o!B27+ca!B27+cb!B27)+2*(z!C27+o!C27+ca!C27+cb!C27)+3*(z!D27+o!D27+ca!D27+cb!D27)+4*(z!E27+o!E27+ca!E27+cb!E27)+5*(z!F27+o!F27+ca!F27+cb!F27)+6*(z!G27+o!G27+ca!G27+cb!G27)+7*(z!H27+o!H27+ca!H27+cb!H27)+8*(z!I27+o!I27+ca!I27+cb!I27)+9*(z!J27+o!J27+ca!J27+cb!J27)+10*(z!K27+o!K27+ca!K27+cb!K27))/G27,0)</f>
        <v/>
      </c>
    </row>
    <row r="28">
      <c r="A28" t="n">
        <v>26</v>
      </c>
      <c r="B28">
        <f>SUM(z!B28:K28)</f>
        <v/>
      </c>
      <c r="C28">
        <f>SUM(o!B28:K28)</f>
        <v/>
      </c>
      <c r="D28">
        <f>SUM(ca!B28:K28)</f>
        <v/>
      </c>
      <c r="E28">
        <f>SUM(cb!B28:K28)</f>
        <v/>
      </c>
      <c r="F28">
        <f>D28+E28</f>
        <v/>
      </c>
      <c r="G28">
        <f>B28+C28+D28+E28</f>
        <v/>
      </c>
      <c r="H28">
        <f>SUM(pu!B28:K28)+SUM(nat_z!B28:K28)+SUM(nat_o!B28:K28)+SUM(nat_ca!B28:K28)+SUM(nat_cb!B28:K28)</f>
        <v/>
      </c>
      <c r="I28">
        <f>I27+H28</f>
        <v/>
      </c>
      <c r="J28">
        <f>SUM(urodz!B28:K28)</f>
        <v/>
      </c>
      <c r="K28">
        <f>IFERROR((1*(z!B28+o!B28+ca!B28+cb!B28)+2*(z!C28+o!C28+ca!C28+cb!C28)+3*(z!D28+o!D28+ca!D28+cb!D28)+4*(z!E28+o!E28+ca!E28+cb!E28)+5*(z!F28+o!F28+ca!F28+cb!F28)+6*(z!G28+o!G28+ca!G28+cb!G28)+7*(z!H28+o!H28+ca!H28+cb!H28)+8*(z!I28+o!I28+ca!I28+cb!I28)+9*(z!J28+o!J28+ca!J28+cb!J28)+10*(z!K28+o!K28+ca!K28+cb!K28))/G28,0)</f>
        <v/>
      </c>
    </row>
    <row r="29">
      <c r="A29" t="n">
        <v>27</v>
      </c>
      <c r="B29">
        <f>SUM(z!B29:K29)</f>
        <v/>
      </c>
      <c r="C29">
        <f>SUM(o!B29:K29)</f>
        <v/>
      </c>
      <c r="D29">
        <f>SUM(ca!B29:K29)</f>
        <v/>
      </c>
      <c r="E29">
        <f>SUM(cb!B29:K29)</f>
        <v/>
      </c>
      <c r="F29">
        <f>D29+E29</f>
        <v/>
      </c>
      <c r="G29">
        <f>B29+C29+D29+E29</f>
        <v/>
      </c>
      <c r="H29">
        <f>SUM(pu!B29:K29)+SUM(nat_z!B29:K29)+SUM(nat_o!B29:K29)+SUM(nat_ca!B29:K29)+SUM(nat_cb!B29:K29)</f>
        <v/>
      </c>
      <c r="I29">
        <f>I28+H29</f>
        <v/>
      </c>
      <c r="J29">
        <f>SUM(urodz!B29:K29)</f>
        <v/>
      </c>
      <c r="K29">
        <f>IFERROR((1*(z!B29+o!B29+ca!B29+cb!B29)+2*(z!C29+o!C29+ca!C29+cb!C29)+3*(z!D29+o!D29+ca!D29+cb!D29)+4*(z!E29+o!E29+ca!E29+cb!E29)+5*(z!F29+o!F29+ca!F29+cb!F29)+6*(z!G29+o!G29+ca!G29+cb!G29)+7*(z!H29+o!H29+ca!H29+cb!H29)+8*(z!I29+o!I29+ca!I29+cb!I29)+9*(z!J29+o!J29+ca!J29+cb!J29)+10*(z!K29+o!K29+ca!K29+cb!K29))/G29,0)</f>
        <v/>
      </c>
    </row>
    <row r="30">
      <c r="A30" t="n">
        <v>28</v>
      </c>
      <c r="B30">
        <f>SUM(z!B30:K30)</f>
        <v/>
      </c>
      <c r="C30">
        <f>SUM(o!B30:K30)</f>
        <v/>
      </c>
      <c r="D30">
        <f>SUM(ca!B30:K30)</f>
        <v/>
      </c>
      <c r="E30">
        <f>SUM(cb!B30:K30)</f>
        <v/>
      </c>
      <c r="F30">
        <f>D30+E30</f>
        <v/>
      </c>
      <c r="G30">
        <f>B30+C30+D30+E30</f>
        <v/>
      </c>
      <c r="H30">
        <f>SUM(pu!B30:K30)+SUM(nat_z!B30:K30)+SUM(nat_o!B30:K30)+SUM(nat_ca!B30:K30)+SUM(nat_cb!B30:K30)</f>
        <v/>
      </c>
      <c r="I30">
        <f>I29+H30</f>
        <v/>
      </c>
      <c r="J30">
        <f>SUM(urodz!B30:K30)</f>
        <v/>
      </c>
      <c r="K30">
        <f>IFERROR((1*(z!B30+o!B30+ca!B30+cb!B30)+2*(z!C30+o!C30+ca!C30+cb!C30)+3*(z!D30+o!D30+ca!D30+cb!D30)+4*(z!E30+o!E30+ca!E30+cb!E30)+5*(z!F30+o!F30+ca!F30+cb!F30)+6*(z!G30+o!G30+ca!G30+cb!G30)+7*(z!H30+o!H30+ca!H30+cb!H30)+8*(z!I30+o!I30+ca!I30+cb!I30)+9*(z!J30+o!J30+ca!J30+cb!J30)+10*(z!K30+o!K30+ca!K30+cb!K30))/G30,0)</f>
        <v/>
      </c>
    </row>
    <row r="31">
      <c r="A31" t="n">
        <v>29</v>
      </c>
      <c r="B31">
        <f>SUM(z!B31:K31)</f>
        <v/>
      </c>
      <c r="C31">
        <f>SUM(o!B31:K31)</f>
        <v/>
      </c>
      <c r="D31">
        <f>SUM(ca!B31:K31)</f>
        <v/>
      </c>
      <c r="E31">
        <f>SUM(cb!B31:K31)</f>
        <v/>
      </c>
      <c r="F31">
        <f>D31+E31</f>
        <v/>
      </c>
      <c r="G31">
        <f>B31+C31+D31+E31</f>
        <v/>
      </c>
      <c r="H31">
        <f>SUM(pu!B31:K31)+SUM(nat_z!B31:K31)+SUM(nat_o!B31:K31)+SUM(nat_ca!B31:K31)+SUM(nat_cb!B31:K31)</f>
        <v/>
      </c>
      <c r="I31">
        <f>I30+H31</f>
        <v/>
      </c>
      <c r="J31">
        <f>SUM(urodz!B31:K31)</f>
        <v/>
      </c>
      <c r="K31">
        <f>IFERROR((1*(z!B31+o!B31+ca!B31+cb!B31)+2*(z!C31+o!C31+ca!C31+cb!C31)+3*(z!D31+o!D31+ca!D31+cb!D31)+4*(z!E31+o!E31+ca!E31+cb!E31)+5*(z!F31+o!F31+ca!F31+cb!F31)+6*(z!G31+o!G31+ca!G31+cb!G31)+7*(z!H31+o!H31+ca!H31+cb!H31)+8*(z!I31+o!I31+ca!I31+cb!I31)+9*(z!J31+o!J31+ca!J31+cb!J31)+10*(z!K31+o!K31+ca!K31+cb!K31))/G31,0)</f>
        <v/>
      </c>
    </row>
    <row r="32">
      <c r="A32" t="n">
        <v>30</v>
      </c>
      <c r="B32">
        <f>SUM(z!B32:K32)</f>
        <v/>
      </c>
      <c r="C32">
        <f>SUM(o!B32:K32)</f>
        <v/>
      </c>
      <c r="D32">
        <f>SUM(ca!B32:K32)</f>
        <v/>
      </c>
      <c r="E32">
        <f>SUM(cb!B32:K32)</f>
        <v/>
      </c>
      <c r="F32">
        <f>D32+E32</f>
        <v/>
      </c>
      <c r="G32">
        <f>B32+C32+D32+E32</f>
        <v/>
      </c>
      <c r="H32">
        <f>SUM(pu!B32:K32)+SUM(nat_z!B32:K32)+SUM(nat_o!B32:K32)+SUM(nat_ca!B32:K32)+SUM(nat_cb!B32:K32)</f>
        <v/>
      </c>
      <c r="I32">
        <f>I31+H32</f>
        <v/>
      </c>
      <c r="J32">
        <f>SUM(urodz!B32:K32)</f>
        <v/>
      </c>
      <c r="K32">
        <f>IFERROR((1*(z!B32+o!B32+ca!B32+cb!B32)+2*(z!C32+o!C32+ca!C32+cb!C32)+3*(z!D32+o!D32+ca!D32+cb!D32)+4*(z!E32+o!E32+ca!E32+cb!E32)+5*(z!F32+o!F32+ca!F32+cb!F32)+6*(z!G32+o!G32+ca!G32+cb!G32)+7*(z!H32+o!H32+ca!H32+cb!H32)+8*(z!I32+o!I32+ca!I32+cb!I32)+9*(z!J32+o!J32+ca!J32+cb!J32)+10*(z!K32+o!K32+ca!K32+cb!K32))/G32,0)</f>
        <v/>
      </c>
    </row>
    <row r="34">
      <c r="A34" s="2" t="inlineStr">
        <is>
          <t>Podsumowanie pojedynczej trajektorii</t>
        </is>
      </c>
    </row>
    <row r="35">
      <c r="A35" s="3" t="inlineStr">
        <is>
          <t>Σ żywych w t=30</t>
        </is>
      </c>
      <c r="B35">
        <f>G32</f>
        <v/>
      </c>
    </row>
    <row r="36">
      <c r="A36" s="3" t="inlineStr">
        <is>
          <t>Skumul. zgony w t=30</t>
        </is>
      </c>
      <c r="B36">
        <f>I32</f>
        <v/>
      </c>
    </row>
    <row r="37">
      <c r="A37" s="3" t="inlineStr">
        <is>
          <t>Maks. zakaźnych</t>
        </is>
      </c>
      <c r="B37">
        <f>MAX(F2:F32)</f>
        <v/>
      </c>
    </row>
    <row r="38">
      <c r="A38" s="3" t="inlineStr">
        <is>
          <t>Tick maks. zakaźności</t>
        </is>
      </c>
      <c r="B38">
        <f>MATCH(MAX(F2:F32),F2:F32,0)-1</f>
        <v/>
      </c>
    </row>
    <row r="39">
      <c r="A39" s="3" t="inlineStr">
        <is>
          <t>Σ urodzeń całkowita</t>
        </is>
      </c>
      <c r="B39">
        <f>SUM(J2:J32)</f>
        <v/>
      </c>
    </row>
    <row r="40">
      <c r="A40" s="3" t="inlineStr">
        <is>
          <t>Σ zgonów całkowita</t>
        </is>
      </c>
      <c r="B40">
        <f>I32</f>
        <v/>
      </c>
    </row>
    <row r="41">
      <c r="A41" s="3" t="inlineStr">
        <is>
          <t>Średni wiek w t=30</t>
        </is>
      </c>
      <c r="B41">
        <f>K32</f>
        <v/>
      </c>
    </row>
    <row r="42">
      <c r="A42" s="3" t="inlineStr">
        <is>
          <t>Wymarcie? (1=tak)</t>
        </is>
      </c>
      <c r="B42">
        <f>IF(G32=0,1,0)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1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2" t="inlineStr">
        <is>
          <t>Eksperyment Monte Carlo</t>
        </is>
      </c>
    </row>
    <row r="2">
      <c r="A2" t="inlineStr">
        <is>
          <t>Naciśnij F9 aby przeliczyć jedną trajektorię. Aby zebrać N replikacji, ustaw tabelę danych (Data Table) wg instrukcji poniżej.</t>
        </is>
      </c>
    </row>
    <row r="4">
      <c r="A4" s="2" t="inlineStr">
        <is>
          <t>Instrukcja konfiguracji 1-wejściowej Data Table</t>
        </is>
      </c>
    </row>
    <row r="5">
      <c r="A5" t="inlineStr">
        <is>
          <t>1. Zaznacz zakres B10:H510.</t>
        </is>
      </c>
    </row>
    <row r="6">
      <c r="A6" t="inlineStr">
        <is>
          <t>2. Wstążka: Dane → Analiza warunkowa → Tabela danych…</t>
        </is>
      </c>
    </row>
    <row r="7">
      <c r="A7" t="inlineStr">
        <is>
          <t xml:space="preserve">   (Mac UI po angielsku: Data → What-If Analysis → Data Table…)</t>
        </is>
      </c>
    </row>
    <row r="8">
      <c r="A8" t="inlineStr">
        <is>
          <t>3. „Komórka wejściowa wiersza” – ZOSTAW PUSTE.</t>
        </is>
      </c>
    </row>
    <row r="9">
      <c r="A9" t="inlineStr">
        <is>
          <t>4. „Komórka wejściowa kolumny” – wskaż dowolną pustą komórkę, np. $A$1.</t>
        </is>
      </c>
      <c r="C9" s="1" t="inlineStr">
        <is>
          <t>Σ żywych t=30</t>
        </is>
      </c>
      <c r="D9" s="1" t="inlineStr">
        <is>
          <t>Skumul. zgony t=30</t>
        </is>
      </c>
      <c r="E9" s="1" t="inlineStr">
        <is>
          <t>Maks. zakaźnych</t>
        </is>
      </c>
      <c r="F9" s="1" t="inlineStr">
        <is>
          <t>Tick maks.</t>
        </is>
      </c>
      <c r="G9" s="1" t="inlineStr">
        <is>
          <t>Σ urodzeń</t>
        </is>
      </c>
      <c r="H9" s="1" t="inlineStr">
        <is>
          <t>Wymarcie?</t>
        </is>
      </c>
    </row>
    <row r="10">
      <c r="A10" t="inlineStr">
        <is>
          <t>5. OK. Excel uruchomi 500 przeliczeń – w kolumnach C..H pojawią się próbki,</t>
        </is>
      </c>
      <c r="C10">
        <f>res_zywe_t30</f>
        <v/>
      </c>
      <c r="D10">
        <f>res_zgony_t30</f>
        <v/>
      </c>
      <c r="E10">
        <f>res_peak</f>
        <v/>
      </c>
      <c r="F10">
        <f>res_peak_t</f>
        <v/>
      </c>
      <c r="G10">
        <f>res_urodz</f>
        <v/>
      </c>
      <c r="H10">
        <f>res_wymarcie</f>
        <v/>
      </c>
    </row>
    <row r="11">
      <c r="A11" t="inlineStr">
        <is>
          <t xml:space="preserve">   a statystyki w wierszach 513–517 (średnia / odch.std / p5 / p50 / p95) policzą się same.</t>
        </is>
      </c>
      <c r="B11" t="n">
        <v>1</v>
      </c>
    </row>
    <row r="12">
      <c r="A12" t="inlineStr">
        <is>
          <t>6. (Opcjonalnie) Plik → Opcje → Formuły → „Automatyczne z wyjątkiem tabel danych”,</t>
        </is>
      </c>
      <c r="B12" t="n">
        <v>2</v>
      </c>
    </row>
    <row r="13">
      <c r="A13" t="inlineStr">
        <is>
          <t xml:space="preserve">   żeby tabela nie przeliczała się przy każdej zmianie komórki.</t>
        </is>
      </c>
      <c r="B13" t="n">
        <v>3</v>
      </c>
    </row>
    <row r="14">
      <c r="A14" t="inlineStr"/>
      <c r="B14" t="n">
        <v>4</v>
      </c>
    </row>
    <row r="15">
      <c r="A15" t="inlineStr">
        <is>
          <t>Uwaga: do pierwszego uruchomienia Tabeli Danych komórki C11:H510 są puste,</t>
        </is>
      </c>
      <c r="B15" t="n">
        <v>5</v>
      </c>
    </row>
    <row r="16">
      <c r="A16" t="inlineStr">
        <is>
          <t>więc statystyki poniżej pokazują „—”. To normalne – znikną po uruchomieniu.</t>
        </is>
      </c>
      <c r="B16" t="n">
        <v>6</v>
      </c>
    </row>
    <row r="17">
      <c r="B17" t="n">
        <v>7</v>
      </c>
    </row>
    <row r="18">
      <c r="B18" t="n">
        <v>8</v>
      </c>
    </row>
    <row r="19">
      <c r="B19" t="n">
        <v>9</v>
      </c>
    </row>
    <row r="20">
      <c r="B20" t="n">
        <v>10</v>
      </c>
    </row>
    <row r="21">
      <c r="B21" t="n">
        <v>11</v>
      </c>
    </row>
    <row r="22">
      <c r="B22" t="n">
        <v>12</v>
      </c>
    </row>
    <row r="23">
      <c r="B23" t="n">
        <v>13</v>
      </c>
    </row>
    <row r="24">
      <c r="B24" t="n">
        <v>14</v>
      </c>
    </row>
    <row r="25">
      <c r="B25" t="n">
        <v>15</v>
      </c>
    </row>
    <row r="26">
      <c r="B26" t="n">
        <v>16</v>
      </c>
    </row>
    <row r="27">
      <c r="B27" t="n">
        <v>17</v>
      </c>
    </row>
    <row r="28">
      <c r="B28" t="n">
        <v>18</v>
      </c>
    </row>
    <row r="29">
      <c r="B29" t="n">
        <v>19</v>
      </c>
    </row>
    <row r="30">
      <c r="B30" t="n">
        <v>20</v>
      </c>
    </row>
    <row r="31">
      <c r="B31" t="n">
        <v>21</v>
      </c>
    </row>
    <row r="32">
      <c r="B32" t="n">
        <v>22</v>
      </c>
    </row>
    <row r="33">
      <c r="B33" t="n">
        <v>23</v>
      </c>
    </row>
    <row r="34">
      <c r="B34" t="n">
        <v>24</v>
      </c>
    </row>
    <row r="35">
      <c r="B35" t="n">
        <v>25</v>
      </c>
    </row>
    <row r="36">
      <c r="B36" t="n">
        <v>26</v>
      </c>
    </row>
    <row r="37">
      <c r="B37" t="n">
        <v>27</v>
      </c>
    </row>
    <row r="38">
      <c r="B38" t="n">
        <v>28</v>
      </c>
    </row>
    <row r="39">
      <c r="B39" t="n">
        <v>29</v>
      </c>
    </row>
    <row r="40">
      <c r="B40" t="n">
        <v>30</v>
      </c>
    </row>
    <row r="41">
      <c r="B41" t="n">
        <v>31</v>
      </c>
    </row>
    <row r="42">
      <c r="B42" t="n">
        <v>32</v>
      </c>
    </row>
    <row r="43">
      <c r="B43" t="n">
        <v>33</v>
      </c>
    </row>
    <row r="44">
      <c r="B44" t="n">
        <v>34</v>
      </c>
    </row>
    <row r="45">
      <c r="B45" t="n">
        <v>35</v>
      </c>
    </row>
    <row r="46">
      <c r="B46" t="n">
        <v>36</v>
      </c>
    </row>
    <row r="47">
      <c r="B47" t="n">
        <v>37</v>
      </c>
    </row>
    <row r="48">
      <c r="B48" t="n">
        <v>38</v>
      </c>
    </row>
    <row r="49">
      <c r="B49" t="n">
        <v>39</v>
      </c>
    </row>
    <row r="50">
      <c r="B50" t="n">
        <v>40</v>
      </c>
    </row>
    <row r="51">
      <c r="B51" t="n">
        <v>41</v>
      </c>
    </row>
    <row r="52">
      <c r="B52" t="n">
        <v>42</v>
      </c>
    </row>
    <row r="53">
      <c r="B53" t="n">
        <v>43</v>
      </c>
    </row>
    <row r="54">
      <c r="B54" t="n">
        <v>44</v>
      </c>
    </row>
    <row r="55">
      <c r="B55" t="n">
        <v>45</v>
      </c>
    </row>
    <row r="56">
      <c r="B56" t="n">
        <v>46</v>
      </c>
    </row>
    <row r="57">
      <c r="B57" t="n">
        <v>47</v>
      </c>
    </row>
    <row r="58">
      <c r="B58" t="n">
        <v>48</v>
      </c>
    </row>
    <row r="59">
      <c r="B59" t="n">
        <v>49</v>
      </c>
    </row>
    <row r="60">
      <c r="B60" t="n">
        <v>50</v>
      </c>
    </row>
    <row r="61">
      <c r="B61" t="n">
        <v>51</v>
      </c>
    </row>
    <row r="62">
      <c r="B62" t="n">
        <v>52</v>
      </c>
    </row>
    <row r="63">
      <c r="B63" t="n">
        <v>53</v>
      </c>
    </row>
    <row r="64">
      <c r="B64" t="n">
        <v>54</v>
      </c>
    </row>
    <row r="65">
      <c r="B65" t="n">
        <v>55</v>
      </c>
    </row>
    <row r="66">
      <c r="B66" t="n">
        <v>56</v>
      </c>
    </row>
    <row r="67">
      <c r="B67" t="n">
        <v>57</v>
      </c>
    </row>
    <row r="68">
      <c r="B68" t="n">
        <v>58</v>
      </c>
    </row>
    <row r="69">
      <c r="B69" t="n">
        <v>59</v>
      </c>
    </row>
    <row r="70">
      <c r="B70" t="n">
        <v>60</v>
      </c>
    </row>
    <row r="71">
      <c r="B71" t="n">
        <v>61</v>
      </c>
    </row>
    <row r="72">
      <c r="B72" t="n">
        <v>62</v>
      </c>
    </row>
    <row r="73">
      <c r="B73" t="n">
        <v>63</v>
      </c>
    </row>
    <row r="74">
      <c r="B74" t="n">
        <v>64</v>
      </c>
    </row>
    <row r="75">
      <c r="B75" t="n">
        <v>65</v>
      </c>
    </row>
    <row r="76">
      <c r="B76" t="n">
        <v>66</v>
      </c>
    </row>
    <row r="77">
      <c r="B77" t="n">
        <v>67</v>
      </c>
    </row>
    <row r="78">
      <c r="B78" t="n">
        <v>68</v>
      </c>
    </row>
    <row r="79">
      <c r="B79" t="n">
        <v>69</v>
      </c>
    </row>
    <row r="80">
      <c r="B80" t="n">
        <v>70</v>
      </c>
    </row>
    <row r="81">
      <c r="B81" t="n">
        <v>71</v>
      </c>
    </row>
    <row r="82">
      <c r="B82" t="n">
        <v>72</v>
      </c>
    </row>
    <row r="83">
      <c r="B83" t="n">
        <v>73</v>
      </c>
    </row>
    <row r="84">
      <c r="B84" t="n">
        <v>74</v>
      </c>
    </row>
    <row r="85">
      <c r="B85" t="n">
        <v>75</v>
      </c>
    </row>
    <row r="86">
      <c r="B86" t="n">
        <v>76</v>
      </c>
    </row>
    <row r="87">
      <c r="B87" t="n">
        <v>77</v>
      </c>
    </row>
    <row r="88">
      <c r="B88" t="n">
        <v>78</v>
      </c>
    </row>
    <row r="89">
      <c r="B89" t="n">
        <v>79</v>
      </c>
    </row>
    <row r="90">
      <c r="B90" t="n">
        <v>80</v>
      </c>
    </row>
    <row r="91">
      <c r="B91" t="n">
        <v>81</v>
      </c>
    </row>
    <row r="92">
      <c r="B92" t="n">
        <v>82</v>
      </c>
    </row>
    <row r="93">
      <c r="B93" t="n">
        <v>83</v>
      </c>
    </row>
    <row r="94">
      <c r="B94" t="n">
        <v>84</v>
      </c>
    </row>
    <row r="95">
      <c r="B95" t="n">
        <v>85</v>
      </c>
    </row>
    <row r="96">
      <c r="B96" t="n">
        <v>86</v>
      </c>
    </row>
    <row r="97">
      <c r="B97" t="n">
        <v>87</v>
      </c>
    </row>
    <row r="98">
      <c r="B98" t="n">
        <v>88</v>
      </c>
    </row>
    <row r="99">
      <c r="B99" t="n">
        <v>89</v>
      </c>
    </row>
    <row r="100">
      <c r="B100" t="n">
        <v>90</v>
      </c>
    </row>
    <row r="101">
      <c r="B101" t="n">
        <v>91</v>
      </c>
    </row>
    <row r="102">
      <c r="B102" t="n">
        <v>92</v>
      </c>
    </row>
    <row r="103">
      <c r="B103" t="n">
        <v>93</v>
      </c>
    </row>
    <row r="104">
      <c r="B104" t="n">
        <v>94</v>
      </c>
    </row>
    <row r="105">
      <c r="B105" t="n">
        <v>95</v>
      </c>
    </row>
    <row r="106">
      <c r="B106" t="n">
        <v>96</v>
      </c>
    </row>
    <row r="107">
      <c r="B107" t="n">
        <v>97</v>
      </c>
    </row>
    <row r="108">
      <c r="B108" t="n">
        <v>98</v>
      </c>
    </row>
    <row r="109">
      <c r="B109" t="n">
        <v>99</v>
      </c>
    </row>
    <row r="110">
      <c r="B110" t="n">
        <v>100</v>
      </c>
    </row>
    <row r="111">
      <c r="B111" t="n">
        <v>101</v>
      </c>
    </row>
    <row r="112">
      <c r="B112" t="n">
        <v>102</v>
      </c>
    </row>
    <row r="113">
      <c r="B113" t="n">
        <v>103</v>
      </c>
    </row>
    <row r="114">
      <c r="B114" t="n">
        <v>104</v>
      </c>
    </row>
    <row r="115">
      <c r="B115" t="n">
        <v>105</v>
      </c>
    </row>
    <row r="116">
      <c r="B116" t="n">
        <v>106</v>
      </c>
    </row>
    <row r="117">
      <c r="B117" t="n">
        <v>107</v>
      </c>
    </row>
    <row r="118">
      <c r="B118" t="n">
        <v>108</v>
      </c>
    </row>
    <row r="119">
      <c r="B119" t="n">
        <v>109</v>
      </c>
    </row>
    <row r="120">
      <c r="B120" t="n">
        <v>110</v>
      </c>
    </row>
    <row r="121">
      <c r="B121" t="n">
        <v>111</v>
      </c>
    </row>
    <row r="122">
      <c r="B122" t="n">
        <v>112</v>
      </c>
    </row>
    <row r="123">
      <c r="B123" t="n">
        <v>113</v>
      </c>
    </row>
    <row r="124">
      <c r="B124" t="n">
        <v>114</v>
      </c>
    </row>
    <row r="125">
      <c r="B125" t="n">
        <v>115</v>
      </c>
    </row>
    <row r="126">
      <c r="B126" t="n">
        <v>116</v>
      </c>
    </row>
    <row r="127">
      <c r="B127" t="n">
        <v>117</v>
      </c>
    </row>
    <row r="128">
      <c r="B128" t="n">
        <v>118</v>
      </c>
    </row>
    <row r="129">
      <c r="B129" t="n">
        <v>119</v>
      </c>
    </row>
    <row r="130">
      <c r="B130" t="n">
        <v>120</v>
      </c>
    </row>
    <row r="131">
      <c r="B131" t="n">
        <v>121</v>
      </c>
    </row>
    <row r="132">
      <c r="B132" t="n">
        <v>122</v>
      </c>
    </row>
    <row r="133">
      <c r="B133" t="n">
        <v>123</v>
      </c>
    </row>
    <row r="134">
      <c r="B134" t="n">
        <v>124</v>
      </c>
    </row>
    <row r="135">
      <c r="B135" t="n">
        <v>125</v>
      </c>
    </row>
    <row r="136">
      <c r="B136" t="n">
        <v>126</v>
      </c>
    </row>
    <row r="137">
      <c r="B137" t="n">
        <v>127</v>
      </c>
    </row>
    <row r="138">
      <c r="B138" t="n">
        <v>128</v>
      </c>
    </row>
    <row r="139">
      <c r="B139" t="n">
        <v>129</v>
      </c>
    </row>
    <row r="140">
      <c r="B140" t="n">
        <v>130</v>
      </c>
    </row>
    <row r="141">
      <c r="B141" t="n">
        <v>131</v>
      </c>
    </row>
    <row r="142">
      <c r="B142" t="n">
        <v>132</v>
      </c>
    </row>
    <row r="143">
      <c r="B143" t="n">
        <v>133</v>
      </c>
    </row>
    <row r="144">
      <c r="B144" t="n">
        <v>134</v>
      </c>
    </row>
    <row r="145">
      <c r="B145" t="n">
        <v>135</v>
      </c>
    </row>
    <row r="146">
      <c r="B146" t="n">
        <v>136</v>
      </c>
    </row>
    <row r="147">
      <c r="B147" t="n">
        <v>137</v>
      </c>
    </row>
    <row r="148">
      <c r="B148" t="n">
        <v>138</v>
      </c>
    </row>
    <row r="149">
      <c r="B149" t="n">
        <v>139</v>
      </c>
    </row>
    <row r="150">
      <c r="B150" t="n">
        <v>140</v>
      </c>
    </row>
    <row r="151">
      <c r="B151" t="n">
        <v>141</v>
      </c>
    </row>
    <row r="152">
      <c r="B152" t="n">
        <v>142</v>
      </c>
    </row>
    <row r="153">
      <c r="B153" t="n">
        <v>143</v>
      </c>
    </row>
    <row r="154">
      <c r="B154" t="n">
        <v>144</v>
      </c>
    </row>
    <row r="155">
      <c r="B155" t="n">
        <v>145</v>
      </c>
    </row>
    <row r="156">
      <c r="B156" t="n">
        <v>146</v>
      </c>
    </row>
    <row r="157">
      <c r="B157" t="n">
        <v>147</v>
      </c>
    </row>
    <row r="158">
      <c r="B158" t="n">
        <v>148</v>
      </c>
    </row>
    <row r="159">
      <c r="B159" t="n">
        <v>149</v>
      </c>
    </row>
    <row r="160">
      <c r="B160" t="n">
        <v>150</v>
      </c>
    </row>
    <row r="161">
      <c r="B161" t="n">
        <v>151</v>
      </c>
    </row>
    <row r="162">
      <c r="B162" t="n">
        <v>152</v>
      </c>
    </row>
    <row r="163">
      <c r="B163" t="n">
        <v>153</v>
      </c>
    </row>
    <row r="164">
      <c r="B164" t="n">
        <v>154</v>
      </c>
    </row>
    <row r="165">
      <c r="B165" t="n">
        <v>155</v>
      </c>
    </row>
    <row r="166">
      <c r="B166" t="n">
        <v>156</v>
      </c>
    </row>
    <row r="167">
      <c r="B167" t="n">
        <v>157</v>
      </c>
    </row>
    <row r="168">
      <c r="B168" t="n">
        <v>158</v>
      </c>
    </row>
    <row r="169">
      <c r="B169" t="n">
        <v>159</v>
      </c>
    </row>
    <row r="170">
      <c r="B170" t="n">
        <v>160</v>
      </c>
    </row>
    <row r="171">
      <c r="B171" t="n">
        <v>161</v>
      </c>
    </row>
    <row r="172">
      <c r="B172" t="n">
        <v>162</v>
      </c>
    </row>
    <row r="173">
      <c r="B173" t="n">
        <v>163</v>
      </c>
    </row>
    <row r="174">
      <c r="B174" t="n">
        <v>164</v>
      </c>
    </row>
    <row r="175">
      <c r="B175" t="n">
        <v>165</v>
      </c>
    </row>
    <row r="176">
      <c r="B176" t="n">
        <v>166</v>
      </c>
    </row>
    <row r="177">
      <c r="B177" t="n">
        <v>167</v>
      </c>
    </row>
    <row r="178">
      <c r="B178" t="n">
        <v>168</v>
      </c>
    </row>
    <row r="179">
      <c r="B179" t="n">
        <v>169</v>
      </c>
    </row>
    <row r="180">
      <c r="B180" t="n">
        <v>170</v>
      </c>
    </row>
    <row r="181">
      <c r="B181" t="n">
        <v>171</v>
      </c>
    </row>
    <row r="182">
      <c r="B182" t="n">
        <v>172</v>
      </c>
    </row>
    <row r="183">
      <c r="B183" t="n">
        <v>173</v>
      </c>
    </row>
    <row r="184">
      <c r="B184" t="n">
        <v>174</v>
      </c>
    </row>
    <row r="185">
      <c r="B185" t="n">
        <v>175</v>
      </c>
    </row>
    <row r="186">
      <c r="B186" t="n">
        <v>176</v>
      </c>
    </row>
    <row r="187">
      <c r="B187" t="n">
        <v>177</v>
      </c>
    </row>
    <row r="188">
      <c r="B188" t="n">
        <v>178</v>
      </c>
    </row>
    <row r="189">
      <c r="B189" t="n">
        <v>179</v>
      </c>
    </row>
    <row r="190">
      <c r="B190" t="n">
        <v>180</v>
      </c>
    </row>
    <row r="191">
      <c r="B191" t="n">
        <v>181</v>
      </c>
    </row>
    <row r="192">
      <c r="B192" t="n">
        <v>182</v>
      </c>
    </row>
    <row r="193">
      <c r="B193" t="n">
        <v>183</v>
      </c>
    </row>
    <row r="194">
      <c r="B194" t="n">
        <v>184</v>
      </c>
    </row>
    <row r="195">
      <c r="B195" t="n">
        <v>185</v>
      </c>
    </row>
    <row r="196">
      <c r="B196" t="n">
        <v>186</v>
      </c>
    </row>
    <row r="197">
      <c r="B197" t="n">
        <v>187</v>
      </c>
    </row>
    <row r="198">
      <c r="B198" t="n">
        <v>188</v>
      </c>
    </row>
    <row r="199">
      <c r="B199" t="n">
        <v>189</v>
      </c>
    </row>
    <row r="200">
      <c r="B200" t="n">
        <v>190</v>
      </c>
    </row>
    <row r="201">
      <c r="B201" t="n">
        <v>191</v>
      </c>
    </row>
    <row r="202">
      <c r="B202" t="n">
        <v>192</v>
      </c>
    </row>
    <row r="203">
      <c r="B203" t="n">
        <v>193</v>
      </c>
    </row>
    <row r="204">
      <c r="B204" t="n">
        <v>194</v>
      </c>
    </row>
    <row r="205">
      <c r="B205" t="n">
        <v>195</v>
      </c>
    </row>
    <row r="206">
      <c r="B206" t="n">
        <v>196</v>
      </c>
    </row>
    <row r="207">
      <c r="B207" t="n">
        <v>197</v>
      </c>
    </row>
    <row r="208">
      <c r="B208" t="n">
        <v>198</v>
      </c>
    </row>
    <row r="209">
      <c r="B209" t="n">
        <v>199</v>
      </c>
    </row>
    <row r="210">
      <c r="B210" t="n">
        <v>200</v>
      </c>
    </row>
    <row r="211">
      <c r="B211" t="n">
        <v>201</v>
      </c>
    </row>
    <row r="212">
      <c r="B212" t="n">
        <v>202</v>
      </c>
    </row>
    <row r="213">
      <c r="B213" t="n">
        <v>203</v>
      </c>
    </row>
    <row r="214">
      <c r="B214" t="n">
        <v>204</v>
      </c>
    </row>
    <row r="215">
      <c r="B215" t="n">
        <v>205</v>
      </c>
    </row>
    <row r="216">
      <c r="B216" t="n">
        <v>206</v>
      </c>
    </row>
    <row r="217">
      <c r="B217" t="n">
        <v>207</v>
      </c>
    </row>
    <row r="218">
      <c r="B218" t="n">
        <v>208</v>
      </c>
    </row>
    <row r="219">
      <c r="B219" t="n">
        <v>209</v>
      </c>
    </row>
    <row r="220">
      <c r="B220" t="n">
        <v>210</v>
      </c>
    </row>
    <row r="221">
      <c r="B221" t="n">
        <v>211</v>
      </c>
    </row>
    <row r="222">
      <c r="B222" t="n">
        <v>212</v>
      </c>
    </row>
    <row r="223">
      <c r="B223" t="n">
        <v>213</v>
      </c>
    </row>
    <row r="224">
      <c r="B224" t="n">
        <v>214</v>
      </c>
    </row>
    <row r="225">
      <c r="B225" t="n">
        <v>215</v>
      </c>
    </row>
    <row r="226">
      <c r="B226" t="n">
        <v>216</v>
      </c>
    </row>
    <row r="227">
      <c r="B227" t="n">
        <v>217</v>
      </c>
    </row>
    <row r="228">
      <c r="B228" t="n">
        <v>218</v>
      </c>
    </row>
    <row r="229">
      <c r="B229" t="n">
        <v>219</v>
      </c>
    </row>
    <row r="230">
      <c r="B230" t="n">
        <v>220</v>
      </c>
    </row>
    <row r="231">
      <c r="B231" t="n">
        <v>221</v>
      </c>
    </row>
    <row r="232">
      <c r="B232" t="n">
        <v>222</v>
      </c>
    </row>
    <row r="233">
      <c r="B233" t="n">
        <v>223</v>
      </c>
    </row>
    <row r="234">
      <c r="B234" t="n">
        <v>224</v>
      </c>
    </row>
    <row r="235">
      <c r="B235" t="n">
        <v>225</v>
      </c>
    </row>
    <row r="236">
      <c r="B236" t="n">
        <v>226</v>
      </c>
    </row>
    <row r="237">
      <c r="B237" t="n">
        <v>227</v>
      </c>
    </row>
    <row r="238">
      <c r="B238" t="n">
        <v>228</v>
      </c>
    </row>
    <row r="239">
      <c r="B239" t="n">
        <v>229</v>
      </c>
    </row>
    <row r="240">
      <c r="B240" t="n">
        <v>230</v>
      </c>
    </row>
    <row r="241">
      <c r="B241" t="n">
        <v>231</v>
      </c>
    </row>
    <row r="242">
      <c r="B242" t="n">
        <v>232</v>
      </c>
    </row>
    <row r="243">
      <c r="B243" t="n">
        <v>233</v>
      </c>
    </row>
    <row r="244">
      <c r="B244" t="n">
        <v>234</v>
      </c>
    </row>
    <row r="245">
      <c r="B245" t="n">
        <v>235</v>
      </c>
    </row>
    <row r="246">
      <c r="B246" t="n">
        <v>236</v>
      </c>
    </row>
    <row r="247">
      <c r="B247" t="n">
        <v>237</v>
      </c>
    </row>
    <row r="248">
      <c r="B248" t="n">
        <v>238</v>
      </c>
    </row>
    <row r="249">
      <c r="B249" t="n">
        <v>239</v>
      </c>
    </row>
    <row r="250">
      <c r="B250" t="n">
        <v>240</v>
      </c>
    </row>
    <row r="251">
      <c r="B251" t="n">
        <v>241</v>
      </c>
    </row>
    <row r="252">
      <c r="B252" t="n">
        <v>242</v>
      </c>
    </row>
    <row r="253">
      <c r="B253" t="n">
        <v>243</v>
      </c>
    </row>
    <row r="254">
      <c r="B254" t="n">
        <v>244</v>
      </c>
    </row>
    <row r="255">
      <c r="B255" t="n">
        <v>245</v>
      </c>
    </row>
    <row r="256">
      <c r="B256" t="n">
        <v>246</v>
      </c>
    </row>
    <row r="257">
      <c r="B257" t="n">
        <v>247</v>
      </c>
    </row>
    <row r="258">
      <c r="B258" t="n">
        <v>248</v>
      </c>
    </row>
    <row r="259">
      <c r="B259" t="n">
        <v>249</v>
      </c>
    </row>
    <row r="260">
      <c r="B260" t="n">
        <v>250</v>
      </c>
    </row>
    <row r="261">
      <c r="B261" t="n">
        <v>251</v>
      </c>
    </row>
    <row r="262">
      <c r="B262" t="n">
        <v>252</v>
      </c>
    </row>
    <row r="263">
      <c r="B263" t="n">
        <v>253</v>
      </c>
    </row>
    <row r="264">
      <c r="B264" t="n">
        <v>254</v>
      </c>
    </row>
    <row r="265">
      <c r="B265" t="n">
        <v>255</v>
      </c>
    </row>
    <row r="266">
      <c r="B266" t="n">
        <v>256</v>
      </c>
    </row>
    <row r="267">
      <c r="B267" t="n">
        <v>257</v>
      </c>
    </row>
    <row r="268">
      <c r="B268" t="n">
        <v>258</v>
      </c>
    </row>
    <row r="269">
      <c r="B269" t="n">
        <v>259</v>
      </c>
    </row>
    <row r="270">
      <c r="B270" t="n">
        <v>260</v>
      </c>
    </row>
    <row r="271">
      <c r="B271" t="n">
        <v>261</v>
      </c>
    </row>
    <row r="272">
      <c r="B272" t="n">
        <v>262</v>
      </c>
    </row>
    <row r="273">
      <c r="B273" t="n">
        <v>263</v>
      </c>
    </row>
    <row r="274">
      <c r="B274" t="n">
        <v>264</v>
      </c>
    </row>
    <row r="275">
      <c r="B275" t="n">
        <v>265</v>
      </c>
    </row>
    <row r="276">
      <c r="B276" t="n">
        <v>266</v>
      </c>
    </row>
    <row r="277">
      <c r="B277" t="n">
        <v>267</v>
      </c>
    </row>
    <row r="278">
      <c r="B278" t="n">
        <v>268</v>
      </c>
    </row>
    <row r="279">
      <c r="B279" t="n">
        <v>269</v>
      </c>
    </row>
    <row r="280">
      <c r="B280" t="n">
        <v>270</v>
      </c>
    </row>
    <row r="281">
      <c r="B281" t="n">
        <v>271</v>
      </c>
    </row>
    <row r="282">
      <c r="B282" t="n">
        <v>272</v>
      </c>
    </row>
    <row r="283">
      <c r="B283" t="n">
        <v>273</v>
      </c>
    </row>
    <row r="284">
      <c r="B284" t="n">
        <v>274</v>
      </c>
    </row>
    <row r="285">
      <c r="B285" t="n">
        <v>275</v>
      </c>
    </row>
    <row r="286">
      <c r="B286" t="n">
        <v>276</v>
      </c>
    </row>
    <row r="287">
      <c r="B287" t="n">
        <v>277</v>
      </c>
    </row>
    <row r="288">
      <c r="B288" t="n">
        <v>278</v>
      </c>
    </row>
    <row r="289">
      <c r="B289" t="n">
        <v>279</v>
      </c>
    </row>
    <row r="290">
      <c r="B290" t="n">
        <v>280</v>
      </c>
    </row>
    <row r="291">
      <c r="B291" t="n">
        <v>281</v>
      </c>
    </row>
    <row r="292">
      <c r="B292" t="n">
        <v>282</v>
      </c>
    </row>
    <row r="293">
      <c r="B293" t="n">
        <v>283</v>
      </c>
    </row>
    <row r="294">
      <c r="B294" t="n">
        <v>284</v>
      </c>
    </row>
    <row r="295">
      <c r="B295" t="n">
        <v>285</v>
      </c>
    </row>
    <row r="296">
      <c r="B296" t="n">
        <v>286</v>
      </c>
    </row>
    <row r="297">
      <c r="B297" t="n">
        <v>287</v>
      </c>
    </row>
    <row r="298">
      <c r="B298" t="n">
        <v>288</v>
      </c>
    </row>
    <row r="299">
      <c r="B299" t="n">
        <v>289</v>
      </c>
    </row>
    <row r="300">
      <c r="B300" t="n">
        <v>290</v>
      </c>
    </row>
    <row r="301">
      <c r="B301" t="n">
        <v>291</v>
      </c>
    </row>
    <row r="302">
      <c r="B302" t="n">
        <v>292</v>
      </c>
    </row>
    <row r="303">
      <c r="B303" t="n">
        <v>293</v>
      </c>
    </row>
    <row r="304">
      <c r="B304" t="n">
        <v>294</v>
      </c>
    </row>
    <row r="305">
      <c r="B305" t="n">
        <v>295</v>
      </c>
    </row>
    <row r="306">
      <c r="B306" t="n">
        <v>296</v>
      </c>
    </row>
    <row r="307">
      <c r="B307" t="n">
        <v>297</v>
      </c>
    </row>
    <row r="308">
      <c r="B308" t="n">
        <v>298</v>
      </c>
    </row>
    <row r="309">
      <c r="B309" t="n">
        <v>299</v>
      </c>
    </row>
    <row r="310">
      <c r="B310" t="n">
        <v>300</v>
      </c>
    </row>
    <row r="311">
      <c r="B311" t="n">
        <v>301</v>
      </c>
    </row>
    <row r="312">
      <c r="B312" t="n">
        <v>302</v>
      </c>
    </row>
    <row r="313">
      <c r="B313" t="n">
        <v>303</v>
      </c>
    </row>
    <row r="314">
      <c r="B314" t="n">
        <v>304</v>
      </c>
    </row>
    <row r="315">
      <c r="B315" t="n">
        <v>305</v>
      </c>
    </row>
    <row r="316">
      <c r="B316" t="n">
        <v>306</v>
      </c>
    </row>
    <row r="317">
      <c r="B317" t="n">
        <v>307</v>
      </c>
    </row>
    <row r="318">
      <c r="B318" t="n">
        <v>308</v>
      </c>
    </row>
    <row r="319">
      <c r="B319" t="n">
        <v>309</v>
      </c>
    </row>
    <row r="320">
      <c r="B320" t="n">
        <v>310</v>
      </c>
    </row>
    <row r="321">
      <c r="B321" t="n">
        <v>311</v>
      </c>
    </row>
    <row r="322">
      <c r="B322" t="n">
        <v>312</v>
      </c>
    </row>
    <row r="323">
      <c r="B323" t="n">
        <v>313</v>
      </c>
    </row>
    <row r="324">
      <c r="B324" t="n">
        <v>314</v>
      </c>
    </row>
    <row r="325">
      <c r="B325" t="n">
        <v>315</v>
      </c>
    </row>
    <row r="326">
      <c r="B326" t="n">
        <v>316</v>
      </c>
    </row>
    <row r="327">
      <c r="B327" t="n">
        <v>317</v>
      </c>
    </row>
    <row r="328">
      <c r="B328" t="n">
        <v>318</v>
      </c>
    </row>
    <row r="329">
      <c r="B329" t="n">
        <v>319</v>
      </c>
    </row>
    <row r="330">
      <c r="B330" t="n">
        <v>320</v>
      </c>
    </row>
    <row r="331">
      <c r="B331" t="n">
        <v>321</v>
      </c>
    </row>
    <row r="332">
      <c r="B332" t="n">
        <v>322</v>
      </c>
    </row>
    <row r="333">
      <c r="B333" t="n">
        <v>323</v>
      </c>
    </row>
    <row r="334">
      <c r="B334" t="n">
        <v>324</v>
      </c>
    </row>
    <row r="335">
      <c r="B335" t="n">
        <v>325</v>
      </c>
    </row>
    <row r="336">
      <c r="B336" t="n">
        <v>326</v>
      </c>
    </row>
    <row r="337">
      <c r="B337" t="n">
        <v>327</v>
      </c>
    </row>
    <row r="338">
      <c r="B338" t="n">
        <v>328</v>
      </c>
    </row>
    <row r="339">
      <c r="B339" t="n">
        <v>329</v>
      </c>
    </row>
    <row r="340">
      <c r="B340" t="n">
        <v>330</v>
      </c>
    </row>
    <row r="341">
      <c r="B341" t="n">
        <v>331</v>
      </c>
    </row>
    <row r="342">
      <c r="B342" t="n">
        <v>332</v>
      </c>
    </row>
    <row r="343">
      <c r="B343" t="n">
        <v>333</v>
      </c>
    </row>
    <row r="344">
      <c r="B344" t="n">
        <v>334</v>
      </c>
    </row>
    <row r="345">
      <c r="B345" t="n">
        <v>335</v>
      </c>
    </row>
    <row r="346">
      <c r="B346" t="n">
        <v>336</v>
      </c>
    </row>
    <row r="347">
      <c r="B347" t="n">
        <v>337</v>
      </c>
    </row>
    <row r="348">
      <c r="B348" t="n">
        <v>338</v>
      </c>
    </row>
    <row r="349">
      <c r="B349" t="n">
        <v>339</v>
      </c>
    </row>
    <row r="350">
      <c r="B350" t="n">
        <v>340</v>
      </c>
    </row>
    <row r="351">
      <c r="B351" t="n">
        <v>341</v>
      </c>
    </row>
    <row r="352">
      <c r="B352" t="n">
        <v>342</v>
      </c>
    </row>
    <row r="353">
      <c r="B353" t="n">
        <v>343</v>
      </c>
    </row>
    <row r="354">
      <c r="B354" t="n">
        <v>344</v>
      </c>
    </row>
    <row r="355">
      <c r="B355" t="n">
        <v>345</v>
      </c>
    </row>
    <row r="356">
      <c r="B356" t="n">
        <v>346</v>
      </c>
    </row>
    <row r="357">
      <c r="B357" t="n">
        <v>347</v>
      </c>
    </row>
    <row r="358">
      <c r="B358" t="n">
        <v>348</v>
      </c>
    </row>
    <row r="359">
      <c r="B359" t="n">
        <v>349</v>
      </c>
    </row>
    <row r="360">
      <c r="B360" t="n">
        <v>350</v>
      </c>
    </row>
    <row r="361">
      <c r="B361" t="n">
        <v>351</v>
      </c>
    </row>
    <row r="362">
      <c r="B362" t="n">
        <v>352</v>
      </c>
    </row>
    <row r="363">
      <c r="B363" t="n">
        <v>353</v>
      </c>
    </row>
    <row r="364">
      <c r="B364" t="n">
        <v>354</v>
      </c>
    </row>
    <row r="365">
      <c r="B365" t="n">
        <v>355</v>
      </c>
    </row>
    <row r="366">
      <c r="B366" t="n">
        <v>356</v>
      </c>
    </row>
    <row r="367">
      <c r="B367" t="n">
        <v>357</v>
      </c>
    </row>
    <row r="368">
      <c r="B368" t="n">
        <v>358</v>
      </c>
    </row>
    <row r="369">
      <c r="B369" t="n">
        <v>359</v>
      </c>
    </row>
    <row r="370">
      <c r="B370" t="n">
        <v>360</v>
      </c>
    </row>
    <row r="371">
      <c r="B371" t="n">
        <v>361</v>
      </c>
    </row>
    <row r="372">
      <c r="B372" t="n">
        <v>362</v>
      </c>
    </row>
    <row r="373">
      <c r="B373" t="n">
        <v>363</v>
      </c>
    </row>
    <row r="374">
      <c r="B374" t="n">
        <v>364</v>
      </c>
    </row>
    <row r="375">
      <c r="B375" t="n">
        <v>365</v>
      </c>
    </row>
    <row r="376">
      <c r="B376" t="n">
        <v>366</v>
      </c>
    </row>
    <row r="377">
      <c r="B377" t="n">
        <v>367</v>
      </c>
    </row>
    <row r="378">
      <c r="B378" t="n">
        <v>368</v>
      </c>
    </row>
    <row r="379">
      <c r="B379" t="n">
        <v>369</v>
      </c>
    </row>
    <row r="380">
      <c r="B380" t="n">
        <v>370</v>
      </c>
    </row>
    <row r="381">
      <c r="B381" t="n">
        <v>371</v>
      </c>
    </row>
    <row r="382">
      <c r="B382" t="n">
        <v>372</v>
      </c>
    </row>
    <row r="383">
      <c r="B383" t="n">
        <v>373</v>
      </c>
    </row>
    <row r="384">
      <c r="B384" t="n">
        <v>374</v>
      </c>
    </row>
    <row r="385">
      <c r="B385" t="n">
        <v>375</v>
      </c>
    </row>
    <row r="386">
      <c r="B386" t="n">
        <v>376</v>
      </c>
    </row>
    <row r="387">
      <c r="B387" t="n">
        <v>377</v>
      </c>
    </row>
    <row r="388">
      <c r="B388" t="n">
        <v>378</v>
      </c>
    </row>
    <row r="389">
      <c r="B389" t="n">
        <v>379</v>
      </c>
    </row>
    <row r="390">
      <c r="B390" t="n">
        <v>380</v>
      </c>
    </row>
    <row r="391">
      <c r="B391" t="n">
        <v>381</v>
      </c>
    </row>
    <row r="392">
      <c r="B392" t="n">
        <v>382</v>
      </c>
    </row>
    <row r="393">
      <c r="B393" t="n">
        <v>383</v>
      </c>
    </row>
    <row r="394">
      <c r="B394" t="n">
        <v>384</v>
      </c>
    </row>
    <row r="395">
      <c r="B395" t="n">
        <v>385</v>
      </c>
    </row>
    <row r="396">
      <c r="B396" t="n">
        <v>386</v>
      </c>
    </row>
    <row r="397">
      <c r="B397" t="n">
        <v>387</v>
      </c>
    </row>
    <row r="398">
      <c r="B398" t="n">
        <v>388</v>
      </c>
    </row>
    <row r="399">
      <c r="B399" t="n">
        <v>389</v>
      </c>
    </row>
    <row r="400">
      <c r="B400" t="n">
        <v>390</v>
      </c>
    </row>
    <row r="401">
      <c r="B401" t="n">
        <v>391</v>
      </c>
    </row>
    <row r="402">
      <c r="B402" t="n">
        <v>392</v>
      </c>
    </row>
    <row r="403">
      <c r="B403" t="n">
        <v>393</v>
      </c>
    </row>
    <row r="404">
      <c r="B404" t="n">
        <v>394</v>
      </c>
    </row>
    <row r="405">
      <c r="B405" t="n">
        <v>395</v>
      </c>
    </row>
    <row r="406">
      <c r="B406" t="n">
        <v>396</v>
      </c>
    </row>
    <row r="407">
      <c r="B407" t="n">
        <v>397</v>
      </c>
    </row>
    <row r="408">
      <c r="B408" t="n">
        <v>398</v>
      </c>
    </row>
    <row r="409">
      <c r="B409" t="n">
        <v>399</v>
      </c>
    </row>
    <row r="410">
      <c r="B410" t="n">
        <v>400</v>
      </c>
    </row>
    <row r="411">
      <c r="B411" t="n">
        <v>401</v>
      </c>
    </row>
    <row r="412">
      <c r="B412" t="n">
        <v>402</v>
      </c>
    </row>
    <row r="413">
      <c r="B413" t="n">
        <v>403</v>
      </c>
    </row>
    <row r="414">
      <c r="B414" t="n">
        <v>404</v>
      </c>
    </row>
    <row r="415">
      <c r="B415" t="n">
        <v>405</v>
      </c>
    </row>
    <row r="416">
      <c r="B416" t="n">
        <v>406</v>
      </c>
    </row>
    <row r="417">
      <c r="B417" t="n">
        <v>407</v>
      </c>
    </row>
    <row r="418">
      <c r="B418" t="n">
        <v>408</v>
      </c>
    </row>
    <row r="419">
      <c r="B419" t="n">
        <v>409</v>
      </c>
    </row>
    <row r="420">
      <c r="B420" t="n">
        <v>410</v>
      </c>
    </row>
    <row r="421">
      <c r="B421" t="n">
        <v>411</v>
      </c>
    </row>
    <row r="422">
      <c r="B422" t="n">
        <v>412</v>
      </c>
    </row>
    <row r="423">
      <c r="B423" t="n">
        <v>413</v>
      </c>
    </row>
    <row r="424">
      <c r="B424" t="n">
        <v>414</v>
      </c>
    </row>
    <row r="425">
      <c r="B425" t="n">
        <v>415</v>
      </c>
    </row>
    <row r="426">
      <c r="B426" t="n">
        <v>416</v>
      </c>
    </row>
    <row r="427">
      <c r="B427" t="n">
        <v>417</v>
      </c>
    </row>
    <row r="428">
      <c r="B428" t="n">
        <v>418</v>
      </c>
    </row>
    <row r="429">
      <c r="B429" t="n">
        <v>419</v>
      </c>
    </row>
    <row r="430">
      <c r="B430" t="n">
        <v>420</v>
      </c>
    </row>
    <row r="431">
      <c r="B431" t="n">
        <v>421</v>
      </c>
    </row>
    <row r="432">
      <c r="B432" t="n">
        <v>422</v>
      </c>
    </row>
    <row r="433">
      <c r="B433" t="n">
        <v>423</v>
      </c>
    </row>
    <row r="434">
      <c r="B434" t="n">
        <v>424</v>
      </c>
    </row>
    <row r="435">
      <c r="B435" t="n">
        <v>425</v>
      </c>
    </row>
    <row r="436">
      <c r="B436" t="n">
        <v>426</v>
      </c>
    </row>
    <row r="437">
      <c r="B437" t="n">
        <v>427</v>
      </c>
    </row>
    <row r="438">
      <c r="B438" t="n">
        <v>428</v>
      </c>
    </row>
    <row r="439">
      <c r="B439" t="n">
        <v>429</v>
      </c>
    </row>
    <row r="440">
      <c r="B440" t="n">
        <v>430</v>
      </c>
    </row>
    <row r="441">
      <c r="B441" t="n">
        <v>431</v>
      </c>
    </row>
    <row r="442">
      <c r="B442" t="n">
        <v>432</v>
      </c>
    </row>
    <row r="443">
      <c r="B443" t="n">
        <v>433</v>
      </c>
    </row>
    <row r="444">
      <c r="B444" t="n">
        <v>434</v>
      </c>
    </row>
    <row r="445">
      <c r="B445" t="n">
        <v>435</v>
      </c>
    </row>
    <row r="446">
      <c r="B446" t="n">
        <v>436</v>
      </c>
    </row>
    <row r="447">
      <c r="B447" t="n">
        <v>437</v>
      </c>
    </row>
    <row r="448">
      <c r="B448" t="n">
        <v>438</v>
      </c>
    </row>
    <row r="449">
      <c r="B449" t="n">
        <v>439</v>
      </c>
    </row>
    <row r="450">
      <c r="B450" t="n">
        <v>440</v>
      </c>
    </row>
    <row r="451">
      <c r="B451" t="n">
        <v>441</v>
      </c>
    </row>
    <row r="452">
      <c r="B452" t="n">
        <v>442</v>
      </c>
    </row>
    <row r="453">
      <c r="B453" t="n">
        <v>443</v>
      </c>
    </row>
    <row r="454">
      <c r="B454" t="n">
        <v>444</v>
      </c>
    </row>
    <row r="455">
      <c r="B455" t="n">
        <v>445</v>
      </c>
    </row>
    <row r="456">
      <c r="B456" t="n">
        <v>446</v>
      </c>
    </row>
    <row r="457">
      <c r="B457" t="n">
        <v>447</v>
      </c>
    </row>
    <row r="458">
      <c r="B458" t="n">
        <v>448</v>
      </c>
    </row>
    <row r="459">
      <c r="B459" t="n">
        <v>449</v>
      </c>
    </row>
    <row r="460">
      <c r="B460" t="n">
        <v>450</v>
      </c>
    </row>
    <row r="461">
      <c r="B461" t="n">
        <v>451</v>
      </c>
    </row>
    <row r="462">
      <c r="B462" t="n">
        <v>452</v>
      </c>
    </row>
    <row r="463">
      <c r="B463" t="n">
        <v>453</v>
      </c>
    </row>
    <row r="464">
      <c r="B464" t="n">
        <v>454</v>
      </c>
    </row>
    <row r="465">
      <c r="B465" t="n">
        <v>455</v>
      </c>
    </row>
    <row r="466">
      <c r="B466" t="n">
        <v>456</v>
      </c>
    </row>
    <row r="467">
      <c r="B467" t="n">
        <v>457</v>
      </c>
    </row>
    <row r="468">
      <c r="B468" t="n">
        <v>458</v>
      </c>
    </row>
    <row r="469">
      <c r="B469" t="n">
        <v>459</v>
      </c>
    </row>
    <row r="470">
      <c r="B470" t="n">
        <v>460</v>
      </c>
    </row>
    <row r="471">
      <c r="B471" t="n">
        <v>461</v>
      </c>
    </row>
    <row r="472">
      <c r="B472" t="n">
        <v>462</v>
      </c>
    </row>
    <row r="473">
      <c r="B473" t="n">
        <v>463</v>
      </c>
    </row>
    <row r="474">
      <c r="B474" t="n">
        <v>464</v>
      </c>
    </row>
    <row r="475">
      <c r="B475" t="n">
        <v>465</v>
      </c>
    </row>
    <row r="476">
      <c r="B476" t="n">
        <v>466</v>
      </c>
    </row>
    <row r="477">
      <c r="B477" t="n">
        <v>467</v>
      </c>
    </row>
    <row r="478">
      <c r="B478" t="n">
        <v>468</v>
      </c>
    </row>
    <row r="479">
      <c r="B479" t="n">
        <v>469</v>
      </c>
    </row>
    <row r="480">
      <c r="B480" t="n">
        <v>470</v>
      </c>
    </row>
    <row r="481">
      <c r="B481" t="n">
        <v>471</v>
      </c>
    </row>
    <row r="482">
      <c r="B482" t="n">
        <v>472</v>
      </c>
    </row>
    <row r="483">
      <c r="B483" t="n">
        <v>473</v>
      </c>
    </row>
    <row r="484">
      <c r="B484" t="n">
        <v>474</v>
      </c>
    </row>
    <row r="485">
      <c r="B485" t="n">
        <v>475</v>
      </c>
    </row>
    <row r="486">
      <c r="B486" t="n">
        <v>476</v>
      </c>
    </row>
    <row r="487">
      <c r="B487" t="n">
        <v>477</v>
      </c>
    </row>
    <row r="488">
      <c r="B488" t="n">
        <v>478</v>
      </c>
    </row>
    <row r="489">
      <c r="B489" t="n">
        <v>479</v>
      </c>
    </row>
    <row r="490">
      <c r="B490" t="n">
        <v>480</v>
      </c>
    </row>
    <row r="491">
      <c r="B491" t="n">
        <v>481</v>
      </c>
    </row>
    <row r="492">
      <c r="B492" t="n">
        <v>482</v>
      </c>
    </row>
    <row r="493">
      <c r="B493" t="n">
        <v>483</v>
      </c>
    </row>
    <row r="494">
      <c r="B494" t="n">
        <v>484</v>
      </c>
    </row>
    <row r="495">
      <c r="B495" t="n">
        <v>485</v>
      </c>
    </row>
    <row r="496">
      <c r="B496" t="n">
        <v>486</v>
      </c>
    </row>
    <row r="497">
      <c r="B497" t="n">
        <v>487</v>
      </c>
    </row>
    <row r="498">
      <c r="B498" t="n">
        <v>488</v>
      </c>
    </row>
    <row r="499">
      <c r="B499" t="n">
        <v>489</v>
      </c>
    </row>
    <row r="500">
      <c r="B500" t="n">
        <v>490</v>
      </c>
    </row>
    <row r="501">
      <c r="B501" t="n">
        <v>491</v>
      </c>
    </row>
    <row r="502">
      <c r="B502" t="n">
        <v>492</v>
      </c>
    </row>
    <row r="503">
      <c r="B503" t="n">
        <v>493</v>
      </c>
    </row>
    <row r="504">
      <c r="B504" t="n">
        <v>494</v>
      </c>
    </row>
    <row r="505">
      <c r="B505" t="n">
        <v>495</v>
      </c>
    </row>
    <row r="506">
      <c r="B506" t="n">
        <v>496</v>
      </c>
    </row>
    <row r="507">
      <c r="B507" t="n">
        <v>497</v>
      </c>
    </row>
    <row r="508">
      <c r="B508" t="n">
        <v>498</v>
      </c>
    </row>
    <row r="509">
      <c r="B509" t="n">
        <v>499</v>
      </c>
    </row>
    <row r="510">
      <c r="B510" t="n">
        <v>500</v>
      </c>
    </row>
    <row r="512">
      <c r="A512" s="2" t="inlineStr">
        <is>
          <t>Statystyki (po uruchomieniu Data Table)</t>
        </is>
      </c>
    </row>
    <row r="513">
      <c r="A513" s="3" t="inlineStr">
        <is>
          <t>średnia</t>
        </is>
      </c>
      <c r="C513">
        <f>IFERROR(IF(COUNT(C11:C510)=0,"—",AVERAGE(C11:C510)),"—")</f>
        <v/>
      </c>
      <c r="D513">
        <f>IFERROR(IF(COUNT(D11:D510)=0,"—",AVERAGE(D11:D510)),"—")</f>
        <v/>
      </c>
      <c r="E513">
        <f>IFERROR(IF(COUNT(E11:E510)=0,"—",AVERAGE(E11:E510)),"—")</f>
        <v/>
      </c>
      <c r="F513">
        <f>IFERROR(IF(COUNT(F11:F510)=0,"—",AVERAGE(F11:F510)),"—")</f>
        <v/>
      </c>
      <c r="G513">
        <f>IFERROR(IF(COUNT(G11:G510)=0,"—",AVERAGE(G11:G510)),"—")</f>
        <v/>
      </c>
      <c r="H513">
        <f>IFERROR(IF(COUNT(H11:H510)=0,"—",AVERAGE(H11:H510)),"—")</f>
        <v/>
      </c>
    </row>
    <row r="514">
      <c r="A514" s="3" t="inlineStr">
        <is>
          <t>odch. std</t>
        </is>
      </c>
      <c r="C514">
        <f>IFERROR(IF(COUNT(C11:C510)=0,"—",_xlfn.STDEV.S(C11:C510)),"—")</f>
        <v/>
      </c>
      <c r="D514">
        <f>IFERROR(IF(COUNT(D11:D510)=0,"—",_xlfn.STDEV.S(D11:D510)),"—")</f>
        <v/>
      </c>
      <c r="E514">
        <f>IFERROR(IF(COUNT(E11:E510)=0,"—",_xlfn.STDEV.S(E11:E510)),"—")</f>
        <v/>
      </c>
      <c r="F514">
        <f>IFERROR(IF(COUNT(F11:F510)=0,"—",_xlfn.STDEV.S(F11:F510)),"—")</f>
        <v/>
      </c>
      <c r="G514">
        <f>IFERROR(IF(COUNT(G11:G510)=0,"—",_xlfn.STDEV.S(G11:G510)),"—")</f>
        <v/>
      </c>
      <c r="H514">
        <f>IFERROR(IF(COUNT(H11:H510)=0,"—",_xlfn.STDEV.S(H11:H510)),"—")</f>
        <v/>
      </c>
    </row>
    <row r="515">
      <c r="A515" s="3" t="inlineStr">
        <is>
          <t>p5</t>
        </is>
      </c>
      <c r="C515">
        <f>IFERROR(IF(COUNT(C11:C510)=0,"—",_xlfn.PERCENTILE.INC(C11:C510,0.05)),"—")</f>
        <v/>
      </c>
      <c r="D515">
        <f>IFERROR(IF(COUNT(D11:D510)=0,"—",_xlfn.PERCENTILE.INC(D11:D510,0.05)),"—")</f>
        <v/>
      </c>
      <c r="E515">
        <f>IFERROR(IF(COUNT(E11:E510)=0,"—",_xlfn.PERCENTILE.INC(E11:E510,0.05)),"—")</f>
        <v/>
      </c>
      <c r="F515">
        <f>IFERROR(IF(COUNT(F11:F510)=0,"—",_xlfn.PERCENTILE.INC(F11:F510,0.05)),"—")</f>
        <v/>
      </c>
      <c r="G515">
        <f>IFERROR(IF(COUNT(G11:G510)=0,"—",_xlfn.PERCENTILE.INC(G11:G510,0.05)),"—")</f>
        <v/>
      </c>
      <c r="H515">
        <f>IFERROR(IF(COUNT(H11:H510)=0,"—",_xlfn.PERCENTILE.INC(H11:H510,0.05)),"—")</f>
        <v/>
      </c>
    </row>
    <row r="516">
      <c r="A516" s="3" t="inlineStr">
        <is>
          <t>p50</t>
        </is>
      </c>
      <c r="C516">
        <f>IFERROR(IF(COUNT(C11:C510)=0,"—",_xlfn.PERCENTILE.INC(C11:C510,0.5)),"—")</f>
        <v/>
      </c>
      <c r="D516">
        <f>IFERROR(IF(COUNT(D11:D510)=0,"—",_xlfn.PERCENTILE.INC(D11:D510,0.5)),"—")</f>
        <v/>
      </c>
      <c r="E516">
        <f>IFERROR(IF(COUNT(E11:E510)=0,"—",_xlfn.PERCENTILE.INC(E11:E510,0.5)),"—")</f>
        <v/>
      </c>
      <c r="F516">
        <f>IFERROR(IF(COUNT(F11:F510)=0,"—",_xlfn.PERCENTILE.INC(F11:F510,0.5)),"—")</f>
        <v/>
      </c>
      <c r="G516">
        <f>IFERROR(IF(COUNT(G11:G510)=0,"—",_xlfn.PERCENTILE.INC(G11:G510,0.5)),"—")</f>
        <v/>
      </c>
      <c r="H516">
        <f>IFERROR(IF(COUNT(H11:H510)=0,"—",_xlfn.PERCENTILE.INC(H11:H510,0.5)),"—")</f>
        <v/>
      </c>
    </row>
    <row r="517">
      <c r="A517" s="3" t="inlineStr">
        <is>
          <t>p95</t>
        </is>
      </c>
      <c r="C517">
        <f>IFERROR(IF(COUNT(C11:C510)=0,"—",_xlfn.PERCENTILE.INC(C11:C510,0.95)),"—")</f>
        <v/>
      </c>
      <c r="D517">
        <f>IFERROR(IF(COUNT(D11:D510)=0,"—",_xlfn.PERCENTILE.INC(D11:D510,0.95)),"—")</f>
        <v/>
      </c>
      <c r="E517">
        <f>IFERROR(IF(COUNT(E11:E510)=0,"—",_xlfn.PERCENTILE.INC(E11:E510,0.95)),"—")</f>
        <v/>
      </c>
      <c r="F517">
        <f>IFERROR(IF(COUNT(F11:F510)=0,"—",_xlfn.PERCENTILE.INC(F11:F510,0.95)),"—")</f>
        <v/>
      </c>
      <c r="G517">
        <f>IFERROR(IF(COUNT(G11:G510)=0,"—",_xlfn.PERCENTILE.INC(G11:G510,0.95)),"—")</f>
        <v/>
      </c>
      <c r="H517">
        <f>IFERROR(IF(COUNT(H11:H510)=0,"—",_xlfn.PERCENTILE.INC(H11:H510,0.95)),"—")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2026-05-17T13:39:21Z</dcterms:created>
  <dcterms:modified xsi:type="dcterms:W3CDTF">2026-05-17T13:39:21Z</dcterms:modified>
</cp:coreProperties>
</file>