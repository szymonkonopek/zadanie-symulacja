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werty\Documents\wu\symulacja\"/>
    </mc:Choice>
  </mc:AlternateContent>
  <xr:revisionPtr revIDLastSave="0" documentId="13_ncr:40001_{40C4229A-24D1-4B82-B82D-9E929FB07DD1}" xr6:coauthVersionLast="46" xr6:coauthVersionMax="46" xr10:uidLastSave="{00000000-0000-0000-0000-000000000000}"/>
  <bookViews>
    <workbookView xWindow="-120" yWindow="-120" windowWidth="29040" windowHeight="15840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1" l="1"/>
  <c r="R9" i="1"/>
  <c r="C9" i="1"/>
  <c r="G9" i="1"/>
  <c r="J9" i="1"/>
  <c r="L9" i="1"/>
  <c r="M9" i="1"/>
  <c r="Q8" i="1"/>
  <c r="R8" i="1"/>
  <c r="C8" i="1"/>
  <c r="G8" i="1"/>
  <c r="J8" i="1"/>
  <c r="L8" i="1"/>
  <c r="M8" i="1"/>
  <c r="Q7" i="1"/>
  <c r="R7" i="1"/>
  <c r="C7" i="1"/>
  <c r="G7" i="1"/>
  <c r="J7" i="1"/>
  <c r="L7" i="1"/>
  <c r="M7" i="1"/>
  <c r="W5" i="1"/>
  <c r="W6" i="1"/>
  <c r="O6" i="1" s="1"/>
  <c r="N6" i="1" s="1"/>
  <c r="W8" i="1"/>
  <c r="O8" i="1" s="1"/>
  <c r="N8" i="1" s="1"/>
  <c r="W9" i="1"/>
  <c r="O9" i="1" s="1"/>
  <c r="N9" i="1" s="1"/>
  <c r="T6" i="1"/>
  <c r="T7" i="1"/>
  <c r="D7" i="1" s="1"/>
  <c r="I7" i="1" s="1"/>
  <c r="H7" i="1" s="1"/>
  <c r="T8" i="1"/>
  <c r="D8" i="1" s="1"/>
  <c r="I8" i="1" s="1"/>
  <c r="H8" i="1" s="1"/>
  <c r="T9" i="1"/>
  <c r="D9" i="1" s="1"/>
  <c r="I9" i="1" s="1"/>
  <c r="H9" i="1" s="1"/>
  <c r="T10" i="1"/>
  <c r="D10" i="1" s="1"/>
  <c r="I10" i="1" s="1"/>
  <c r="T11" i="1"/>
  <c r="D11" i="1" s="1"/>
  <c r="I11" i="1" s="1"/>
  <c r="T12" i="1"/>
  <c r="D12" i="1" s="1"/>
  <c r="I12" i="1" s="1"/>
  <c r="T13" i="1"/>
  <c r="D13" i="1" s="1"/>
  <c r="I13" i="1" s="1"/>
  <c r="D6" i="1"/>
  <c r="I6" i="1"/>
  <c r="H6" i="1" s="1"/>
  <c r="J6" i="1"/>
  <c r="L6" i="1"/>
  <c r="M6" i="1"/>
  <c r="T5" i="1"/>
  <c r="Q5" i="1"/>
  <c r="R5" i="1"/>
  <c r="C5" i="1"/>
  <c r="B5" i="1" s="1"/>
  <c r="D5" i="1"/>
  <c r="G5" i="1"/>
  <c r="I5" i="1"/>
  <c r="H5" i="1" s="1"/>
  <c r="J5" i="1"/>
  <c r="L5" i="1"/>
  <c r="M5" i="1"/>
  <c r="O5" i="1"/>
  <c r="N5" i="1" s="1"/>
  <c r="W4" i="1"/>
  <c r="C4" i="1"/>
  <c r="B4" i="1" s="1"/>
  <c r="D4" i="1"/>
  <c r="G4" i="1"/>
  <c r="I4" i="1"/>
  <c r="H4" i="1" s="1"/>
  <c r="J4" i="1"/>
  <c r="L4" i="1"/>
  <c r="M4" i="1"/>
  <c r="F4" i="1" s="1"/>
  <c r="E4" i="1" s="1"/>
  <c r="O4" i="1"/>
  <c r="N4" i="1" s="1"/>
  <c r="T4" i="1"/>
  <c r="R4" i="1"/>
  <c r="Q4" i="1"/>
  <c r="E3" i="1"/>
  <c r="G3" i="1"/>
  <c r="F3" i="1"/>
  <c r="K3" i="1"/>
  <c r="W3" i="1"/>
  <c r="M3" i="1"/>
  <c r="O3" i="1"/>
  <c r="N3" i="1" s="1"/>
  <c r="L3" i="1"/>
  <c r="H3" i="1"/>
  <c r="J3" i="1"/>
  <c r="B3" i="1"/>
  <c r="I3" i="1"/>
  <c r="D3" i="1"/>
  <c r="T3" i="1"/>
  <c r="B9" i="1" l="1"/>
  <c r="Q10" i="1" s="1"/>
  <c r="R10" i="1" s="1"/>
  <c r="J10" i="1"/>
  <c r="L10" i="1" s="1"/>
  <c r="F9" i="1"/>
  <c r="E9" i="1" s="1"/>
  <c r="K9" i="1"/>
  <c r="B8" i="1"/>
  <c r="F8" i="1"/>
  <c r="E8" i="1" s="1"/>
  <c r="K8" i="1"/>
  <c r="B7" i="1"/>
  <c r="K7" i="1"/>
  <c r="W7" i="1"/>
  <c r="O7" i="1" s="1"/>
  <c r="N7" i="1" s="1"/>
  <c r="F6" i="1"/>
  <c r="F5" i="1"/>
  <c r="E5" i="1" s="1"/>
  <c r="K6" i="1"/>
  <c r="K5" i="1"/>
  <c r="K4" i="1"/>
  <c r="M10" i="1" l="1"/>
  <c r="C10" i="1"/>
  <c r="B10" i="1" s="1"/>
  <c r="G10" i="1"/>
  <c r="H10" i="1"/>
  <c r="F7" i="1"/>
  <c r="E7" i="1" s="1"/>
  <c r="Q6" i="1"/>
  <c r="R6" i="1" s="1"/>
  <c r="C6" i="1"/>
  <c r="B6" i="1" s="1"/>
  <c r="G6" i="1"/>
  <c r="E6" i="1" s="1"/>
  <c r="J11" i="1" l="1"/>
  <c r="L11" i="1" s="1"/>
  <c r="W10" i="1"/>
  <c r="O10" i="1" s="1"/>
  <c r="N10" i="1" s="1"/>
  <c r="K10" i="1"/>
  <c r="Q11" i="1" s="1"/>
  <c r="R11" i="1" s="1"/>
  <c r="R3" i="1"/>
  <c r="Q3" i="1"/>
  <c r="C3" i="1"/>
  <c r="M11" i="1" l="1"/>
  <c r="F10" i="1"/>
  <c r="E10" i="1" s="1"/>
  <c r="H11" i="1"/>
  <c r="C11" i="1" l="1"/>
  <c r="B11" i="1" s="1"/>
  <c r="G11" i="1"/>
  <c r="W11" i="1"/>
  <c r="O11" i="1" s="1"/>
  <c r="N11" i="1" s="1"/>
  <c r="J12" i="1"/>
  <c r="L12" i="1" s="1"/>
  <c r="K11" i="1"/>
  <c r="M12" i="1" l="1"/>
  <c r="H12" i="1"/>
  <c r="F11" i="1"/>
  <c r="E11" i="1" s="1"/>
  <c r="Q12" i="1" s="1"/>
  <c r="R12" i="1" s="1"/>
  <c r="W12" i="1" l="1"/>
  <c r="O12" i="1" s="1"/>
  <c r="N12" i="1" s="1"/>
  <c r="C12" i="1"/>
  <c r="B12" i="1" s="1"/>
  <c r="G12" i="1"/>
  <c r="J13" i="1"/>
  <c r="L13" i="1" s="1"/>
  <c r="K12" i="1"/>
  <c r="H13" i="1" l="1"/>
  <c r="M13" i="1"/>
  <c r="K13" i="1" s="1"/>
  <c r="F12" i="1"/>
  <c r="E12" i="1" s="1"/>
  <c r="Q13" i="1" s="1"/>
  <c r="R13" i="1" s="1"/>
  <c r="C13" i="1" l="1"/>
  <c r="B13" i="1" s="1"/>
  <c r="G13" i="1"/>
  <c r="W13" i="1"/>
  <c r="O13" i="1" s="1"/>
  <c r="N13" i="1" s="1"/>
  <c r="F13" i="1" l="1"/>
  <c r="E13" i="1" s="1"/>
</calcChain>
</file>

<file path=xl/sharedStrings.xml><?xml version="1.0" encoding="utf-8"?>
<sst xmlns="http://schemas.openxmlformats.org/spreadsheetml/2006/main" count="17" uniqueCount="17">
  <si>
    <t>t</t>
  </si>
  <si>
    <t>z(t)</t>
  </si>
  <si>
    <t>pz(t)</t>
  </si>
  <si>
    <t>sz(t)</t>
  </si>
  <si>
    <t>o(t)</t>
  </si>
  <si>
    <t>po(t)</t>
  </si>
  <si>
    <t>so(t)</t>
  </si>
  <si>
    <t>ca(t)</t>
  </si>
  <si>
    <t>pca(t)</t>
  </si>
  <si>
    <t>sca(t)</t>
  </si>
  <si>
    <t>cb(t)</t>
  </si>
  <si>
    <t>pcb(t)</t>
  </si>
  <si>
    <t>scb(t)</t>
  </si>
  <si>
    <t>u(t)</t>
  </si>
  <si>
    <t>pu(t)</t>
  </si>
  <si>
    <t>pch</t>
  </si>
  <si>
    <t>śca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</si>
</sst>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Arkusz1!$A$2:$A$13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Arkusz1!$B$2:$B$13</c:f>
              <c:numCache>
                <c:formatCode>General</c:formatCode>
                <c:ptCount val="12"/>
                <c:pt idx="0">
                  <c:v>488</c:v>
                </c:pt>
                <c:pt idx="1">
                  <c:v>389</c:v>
                </c:pt>
                <c:pt idx="2">
                  <c:v>232</c:v>
                </c:pt>
                <c:pt idx="3">
                  <c:v>208</c:v>
                </c:pt>
                <c:pt idx="4">
                  <c:v>203</c:v>
                </c:pt>
                <c:pt idx="5">
                  <c:v>274</c:v>
                </c:pt>
                <c:pt idx="6">
                  <c:v>306</c:v>
                </c:pt>
                <c:pt idx="7">
                  <c:v>307</c:v>
                </c:pt>
                <c:pt idx="8">
                  <c:v>267</c:v>
                </c:pt>
                <c:pt idx="9">
                  <c:v>239</c:v>
                </c:pt>
                <c:pt idx="10">
                  <c:v>222</c:v>
                </c:pt>
                <c:pt idx="11">
                  <c:v>220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9-43CC-9BCF-16E5EFCDE5B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Arkusz1!$A$2:$A$13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Arkusz1!$E$2:$E$13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92</c:v>
                </c:pt>
                <c:pt idx="3">
                  <c:v>88</c:v>
                </c:pt>
                <c:pt idx="4">
                  <c:v>137</c:v>
                </c:pt>
                <c:pt idx="5">
                  <c:v>104</c:v>
                </c:pt>
                <c:pt idx="6">
                  <c:v>86</c:v>
                </c:pt>
                <c:pt idx="7">
                  <c:v>59</c:v>
                </c:pt>
                <c:pt idx="8">
                  <c:v>65</c:v>
                </c:pt>
                <c:pt idx="9">
                  <c:v>75</c:v>
                </c:pt>
                <c:pt idx="10">
                  <c:v>88</c:v>
                </c:pt>
                <c:pt idx="11">
                  <c:v>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39-43CC-9BCF-16E5EFCDE5B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Arkusz1!$A$2:$A$13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Arkusz1!$H$2:$H$13</c:f>
              <c:numCache>
                <c:formatCode>General</c:formatCode>
                <c:ptCount val="12"/>
                <c:pt idx="0">
                  <c:v>100</c:v>
                </c:pt>
                <c:pt idx="1">
                  <c:v>99</c:v>
                </c:pt>
                <c:pt idx="2">
                  <c:v>157</c:v>
                </c:pt>
                <c:pt idx="3">
                  <c:v>116</c:v>
                </c:pt>
                <c:pt idx="4">
                  <c:v>93</c:v>
                </c:pt>
                <c:pt idx="5">
                  <c:v>66</c:v>
                </c:pt>
                <c:pt idx="6">
                  <c:v>72</c:v>
                </c:pt>
                <c:pt idx="7">
                  <c:v>85</c:v>
                </c:pt>
                <c:pt idx="8">
                  <c:v>99</c:v>
                </c:pt>
                <c:pt idx="9">
                  <c:v>93</c:v>
                </c:pt>
                <c:pt idx="10">
                  <c:v>92</c:v>
                </c:pt>
                <c:pt idx="11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39-43CC-9BCF-16E5EFCDE5B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Arkusz1!$A$2:$A$13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Arkusz1!$K$2:$K$13</c:f>
              <c:numCache>
                <c:formatCode>General</c:formatCode>
                <c:ptCount val="12"/>
                <c:pt idx="0">
                  <c:v>0</c:v>
                </c:pt>
                <c:pt idx="1">
                  <c:v>100</c:v>
                </c:pt>
                <c:pt idx="2">
                  <c:v>99</c:v>
                </c:pt>
                <c:pt idx="3">
                  <c:v>157</c:v>
                </c:pt>
                <c:pt idx="4">
                  <c:v>116</c:v>
                </c:pt>
                <c:pt idx="5">
                  <c:v>93</c:v>
                </c:pt>
                <c:pt idx="6">
                  <c:v>66</c:v>
                </c:pt>
                <c:pt idx="7">
                  <c:v>72</c:v>
                </c:pt>
                <c:pt idx="8">
                  <c:v>85</c:v>
                </c:pt>
                <c:pt idx="9">
                  <c:v>99</c:v>
                </c:pt>
                <c:pt idx="10">
                  <c:v>93</c:v>
                </c:pt>
                <c:pt idx="11">
                  <c:v>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39-43CC-9BCF-16E5EFCDE5BC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Arkusz1!$A$2:$A$13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Arkusz1!$N$2:$N$13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19</c:v>
                </c:pt>
                <c:pt idx="4">
                  <c:v>39</c:v>
                </c:pt>
                <c:pt idx="5">
                  <c:v>51</c:v>
                </c:pt>
                <c:pt idx="6">
                  <c:v>58</c:v>
                </c:pt>
                <c:pt idx="7">
                  <c:v>65</c:v>
                </c:pt>
                <c:pt idx="8">
                  <c:v>72</c:v>
                </c:pt>
                <c:pt idx="9">
                  <c:v>82</c:v>
                </c:pt>
                <c:pt idx="10">
                  <c:v>93</c:v>
                </c:pt>
                <c:pt idx="11">
                  <c:v>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239-43CC-9BCF-16E5EFCDE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444984"/>
        <c:axId val="497441376"/>
      </c:scatterChart>
      <c:valAx>
        <c:axId val="497444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7441376"/>
        <c:crosses val="autoZero"/>
        <c:crossBetween val="midCat"/>
      </c:valAx>
      <c:valAx>
        <c:axId val="49744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7444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11</xdr:row>
      <xdr:rowOff>0</xdr:rowOff>
    </xdr:from>
    <xdr:to>
      <xdr:col>22</xdr:col>
      <xdr:colOff>219074</xdr:colOff>
      <xdr:row>33</xdr:row>
      <xdr:rowOff>19050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71ACAEA-788F-4FBD-A7FA-7536502B2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N2" activeCellId="5" sqref="A2:A13 B2:B13 E2:E13 H2:H13 K2:K13 N2:N13"/>
    </sheetView>
  </sheetViews>
  <sheetFormatPr defaultRowHeight="15" x14ac:dyDescent="0.25"/>
  <sheetData>
    <row r="1" spans="1:23" x14ac:dyDescent="0.2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Q1" t="s">
        <v>15</v>
      </c>
      <c r="R1" t="s">
        <v>16</v>
      </c>
    </row>
    <row r="2" spans="1:23" x14ac:dyDescent="0.25">
      <c r="A2">
        <v>0</v>
      </c>
      <c r="B2">
        <v>488</v>
      </c>
      <c r="E2">
        <v>0</v>
      </c>
      <c r="H2">
        <v>100</v>
      </c>
      <c r="K2">
        <v>0</v>
      </c>
      <c r="N2">
        <v>0</v>
      </c>
    </row>
    <row r="3" spans="1:23" x14ac:dyDescent="0.25">
      <c r="A3">
        <v>1</v>
      </c>
      <c r="B3">
        <f>B2+C3-D3</f>
        <v>389</v>
      </c>
      <c r="C3">
        <f>E2</f>
        <v>0</v>
      </c>
      <c r="D3">
        <f>T3</f>
        <v>99</v>
      </c>
      <c r="E3">
        <f>E2+F3-G3</f>
        <v>0</v>
      </c>
      <c r="F3">
        <f>M3-O3</f>
        <v>0</v>
      </c>
      <c r="G3">
        <f>E2</f>
        <v>0</v>
      </c>
      <c r="H3">
        <f>H2+I3-J3</f>
        <v>99</v>
      </c>
      <c r="I3">
        <f>D3</f>
        <v>99</v>
      </c>
      <c r="J3">
        <f>H2</f>
        <v>100</v>
      </c>
      <c r="K3">
        <f>K2+L3-M3</f>
        <v>100</v>
      </c>
      <c r="L3">
        <f>J3</f>
        <v>100</v>
      </c>
      <c r="M3">
        <f>K2</f>
        <v>0</v>
      </c>
      <c r="N3">
        <f>N2+O3</f>
        <v>0</v>
      </c>
      <c r="O3">
        <f>ROUND(W3,0)</f>
        <v>0</v>
      </c>
      <c r="Q3">
        <f>(H2+K2)/(B2+E2+H2+K2)</f>
        <v>0.17006802721088435</v>
      </c>
      <c r="R3">
        <f>Q3*B2</f>
        <v>82.993197278911566</v>
      </c>
      <c r="S3">
        <v>99.477231838507578</v>
      </c>
      <c r="T3">
        <f>ROUND(S3,0)</f>
        <v>99</v>
      </c>
      <c r="V3">
        <v>8.8913714332738897E-2</v>
      </c>
      <c r="W3">
        <f>M3*V3</f>
        <v>0</v>
      </c>
    </row>
    <row r="4" spans="1:23" x14ac:dyDescent="0.25">
      <c r="A4">
        <v>2</v>
      </c>
      <c r="B4">
        <f>B3+C4-D4</f>
        <v>232</v>
      </c>
      <c r="C4">
        <f>E3</f>
        <v>0</v>
      </c>
      <c r="D4">
        <f>T4</f>
        <v>157</v>
      </c>
      <c r="E4">
        <f>E3+F4-G4</f>
        <v>92</v>
      </c>
      <c r="F4">
        <f>M4-O4</f>
        <v>92</v>
      </c>
      <c r="G4">
        <f>E3</f>
        <v>0</v>
      </c>
      <c r="H4">
        <f>H3+I4-J4</f>
        <v>157</v>
      </c>
      <c r="I4">
        <f>D4</f>
        <v>157</v>
      </c>
      <c r="J4">
        <f>H3</f>
        <v>99</v>
      </c>
      <c r="K4">
        <f>K3+L4-M4</f>
        <v>99</v>
      </c>
      <c r="L4">
        <f>J4</f>
        <v>99</v>
      </c>
      <c r="M4">
        <f>K3</f>
        <v>100</v>
      </c>
      <c r="N4">
        <f>N3+O4</f>
        <v>8</v>
      </c>
      <c r="O4">
        <f>ROUND(W4,0)</f>
        <v>8</v>
      </c>
      <c r="Q4">
        <f>(H3+K3)/(B3+E3+H3+K3)</f>
        <v>0.33843537414965985</v>
      </c>
      <c r="R4">
        <f>Q4*B3</f>
        <v>131.65136054421768</v>
      </c>
      <c r="S4">
        <v>156.52073204040062</v>
      </c>
      <c r="T4">
        <f>ROUND(S4,0)</f>
        <v>157</v>
      </c>
      <c r="V4">
        <v>8.2505596562987199E-2</v>
      </c>
      <c r="W4">
        <f>M4*V4</f>
        <v>8.2505596562987193</v>
      </c>
    </row>
    <row r="5" spans="1:23" x14ac:dyDescent="0.25">
      <c r="A5">
        <v>3</v>
      </c>
      <c r="B5">
        <f>B4+C5-D5</f>
        <v>208</v>
      </c>
      <c r="C5">
        <f>E4</f>
        <v>92</v>
      </c>
      <c r="D5">
        <f>T5</f>
        <v>116</v>
      </c>
      <c r="E5">
        <f>E4+F5-G5</f>
        <v>88</v>
      </c>
      <c r="F5">
        <f>M5-O5</f>
        <v>88</v>
      </c>
      <c r="G5">
        <f>E4</f>
        <v>92</v>
      </c>
      <c r="H5">
        <f>H4+I5-J5</f>
        <v>116</v>
      </c>
      <c r="I5">
        <f>D5</f>
        <v>116</v>
      </c>
      <c r="J5">
        <f>H4</f>
        <v>157</v>
      </c>
      <c r="K5">
        <f>K4+L5-M5</f>
        <v>157</v>
      </c>
      <c r="L5">
        <f>J5</f>
        <v>157</v>
      </c>
      <c r="M5">
        <f>K4</f>
        <v>99</v>
      </c>
      <c r="N5">
        <f>N4+O5</f>
        <v>19</v>
      </c>
      <c r="O5">
        <f>ROUND(W5,0)</f>
        <v>11</v>
      </c>
      <c r="Q5">
        <f>(H4+K4)/(B4+E4+H4+K4)</f>
        <v>0.44137931034482758</v>
      </c>
      <c r="R5">
        <f>Q5*B4</f>
        <v>102.4</v>
      </c>
      <c r="S5">
        <v>116.39861989638302</v>
      </c>
      <c r="T5">
        <f>ROUND(S5,0)</f>
        <v>116</v>
      </c>
      <c r="V5">
        <v>0.11401840563630686</v>
      </c>
      <c r="W5">
        <f t="shared" ref="W5:W32" si="0">M5*V5</f>
        <v>11.287822157994379</v>
      </c>
    </row>
    <row r="6" spans="1:23" x14ac:dyDescent="0.25">
      <c r="A6">
        <v>4</v>
      </c>
      <c r="B6">
        <f>B5+C6-D6</f>
        <v>203</v>
      </c>
      <c r="C6">
        <f>E5</f>
        <v>88</v>
      </c>
      <c r="D6">
        <f>T6</f>
        <v>93</v>
      </c>
      <c r="E6">
        <f>E5+F6-G6</f>
        <v>137</v>
      </c>
      <c r="F6">
        <f>M6-O6</f>
        <v>137</v>
      </c>
      <c r="G6">
        <f>E5</f>
        <v>88</v>
      </c>
      <c r="H6">
        <f>H5+I6-J6</f>
        <v>93</v>
      </c>
      <c r="I6">
        <f>D6</f>
        <v>93</v>
      </c>
      <c r="J6">
        <f>H5</f>
        <v>116</v>
      </c>
      <c r="K6">
        <f>K5+L6-M6</f>
        <v>116</v>
      </c>
      <c r="L6">
        <f>J6</f>
        <v>116</v>
      </c>
      <c r="M6">
        <f>K5</f>
        <v>157</v>
      </c>
      <c r="N6">
        <f>N5+O6</f>
        <v>39</v>
      </c>
      <c r="O6">
        <f>ROUND(W6,0)</f>
        <v>20</v>
      </c>
      <c r="Q6">
        <f>(H5+K5)/(B5+E5+H5+K5)</f>
        <v>0.47978910369068539</v>
      </c>
      <c r="R6">
        <f>Q6*B5</f>
        <v>99.796133567662565</v>
      </c>
      <c r="S6">
        <v>93.123347045795526</v>
      </c>
      <c r="T6">
        <f t="shared" ref="T6:T32" si="1">ROUND(S6,0)</f>
        <v>93</v>
      </c>
      <c r="V6">
        <v>0.125882400223054</v>
      </c>
      <c r="W6">
        <f t="shared" si="0"/>
        <v>19.763536835019476</v>
      </c>
    </row>
    <row r="7" spans="1:23" x14ac:dyDescent="0.25">
      <c r="A7">
        <v>5</v>
      </c>
      <c r="B7">
        <f>B6+C7-D7</f>
        <v>274</v>
      </c>
      <c r="C7">
        <f>E6</f>
        <v>137</v>
      </c>
      <c r="D7">
        <f>T7</f>
        <v>66</v>
      </c>
      <c r="E7">
        <f>E6+F7-G7</f>
        <v>104</v>
      </c>
      <c r="F7">
        <f>M7-O7</f>
        <v>104</v>
      </c>
      <c r="G7">
        <f>E6</f>
        <v>137</v>
      </c>
      <c r="H7">
        <f>H6+I7-J7</f>
        <v>66</v>
      </c>
      <c r="I7">
        <f>D7</f>
        <v>66</v>
      </c>
      <c r="J7">
        <f>H6</f>
        <v>93</v>
      </c>
      <c r="K7">
        <f>K6+L7-M7</f>
        <v>93</v>
      </c>
      <c r="L7">
        <f>J7</f>
        <v>93</v>
      </c>
      <c r="M7">
        <f>K6</f>
        <v>116</v>
      </c>
      <c r="N7">
        <f>N6+O7</f>
        <v>51</v>
      </c>
      <c r="O7">
        <f>ROUND(W7,0)</f>
        <v>12</v>
      </c>
      <c r="Q7">
        <f>(H6+K6)/(B6+E6+H6+K6)</f>
        <v>0.38069216757741348</v>
      </c>
      <c r="R7">
        <f>Q7*B6</f>
        <v>77.28051001821494</v>
      </c>
      <c r="S7">
        <v>65.909585226792842</v>
      </c>
      <c r="T7">
        <f t="shared" si="1"/>
        <v>66</v>
      </c>
      <c r="V7">
        <v>0.10506504420627608</v>
      </c>
      <c r="W7">
        <f t="shared" si="0"/>
        <v>12.187545127928026</v>
      </c>
    </row>
    <row r="8" spans="1:23" x14ac:dyDescent="0.25">
      <c r="A8">
        <v>6</v>
      </c>
      <c r="B8">
        <f>B7+C8-D8</f>
        <v>306</v>
      </c>
      <c r="C8">
        <f>E7</f>
        <v>104</v>
      </c>
      <c r="D8">
        <f>T8</f>
        <v>72</v>
      </c>
      <c r="E8">
        <f>E7+F8-G8</f>
        <v>86</v>
      </c>
      <c r="F8">
        <f>M8-O8</f>
        <v>86</v>
      </c>
      <c r="G8">
        <f>E7</f>
        <v>104</v>
      </c>
      <c r="H8">
        <f>H7+I8-J8</f>
        <v>72</v>
      </c>
      <c r="I8">
        <f>D8</f>
        <v>72</v>
      </c>
      <c r="J8">
        <f>H7</f>
        <v>66</v>
      </c>
      <c r="K8">
        <f>K7+L8-M8</f>
        <v>66</v>
      </c>
      <c r="L8">
        <f>J8</f>
        <v>66</v>
      </c>
      <c r="M8">
        <f>K7</f>
        <v>93</v>
      </c>
      <c r="N8">
        <f>N7+O8</f>
        <v>58</v>
      </c>
      <c r="O8">
        <f>ROUND(W8,0)</f>
        <v>7</v>
      </c>
      <c r="Q8">
        <f>(H7+K7)/(B7+E7+H7+K7)</f>
        <v>0.29608938547486036</v>
      </c>
      <c r="R8">
        <f>Q8*B7</f>
        <v>81.128491620111731</v>
      </c>
      <c r="S8">
        <v>71.825763234170154</v>
      </c>
      <c r="T8">
        <f t="shared" si="1"/>
        <v>72</v>
      </c>
      <c r="V8">
        <v>7.0060798659687867E-2</v>
      </c>
      <c r="W8">
        <f t="shared" si="0"/>
        <v>6.5156542753509719</v>
      </c>
    </row>
    <row r="9" spans="1:23" x14ac:dyDescent="0.25">
      <c r="A9">
        <v>7</v>
      </c>
      <c r="B9">
        <f t="shared" ref="B9:B27" si="2">B8+C9-D9</f>
        <v>307</v>
      </c>
      <c r="C9">
        <f t="shared" ref="C9:C27" si="3">E8</f>
        <v>86</v>
      </c>
      <c r="D9">
        <f t="shared" ref="D9:D27" si="4">T9</f>
        <v>85</v>
      </c>
      <c r="E9">
        <f t="shared" ref="E9:E27" si="5">E8+F9-G9</f>
        <v>59</v>
      </c>
      <c r="F9">
        <f t="shared" ref="F9:F27" si="6">M9-O9</f>
        <v>59</v>
      </c>
      <c r="G9">
        <f t="shared" ref="G9:G27" si="7">E8</f>
        <v>86</v>
      </c>
      <c r="H9">
        <f t="shared" ref="H9:H27" si="8">H8+I9-J9</f>
        <v>85</v>
      </c>
      <c r="I9">
        <f t="shared" ref="I9:I27" si="9">D9</f>
        <v>85</v>
      </c>
      <c r="J9">
        <f t="shared" ref="J9:J27" si="10">H8</f>
        <v>72</v>
      </c>
      <c r="K9">
        <f t="shared" ref="K9:K27" si="11">K8+L9-M9</f>
        <v>72</v>
      </c>
      <c r="L9">
        <f t="shared" ref="L9:L27" si="12">J9</f>
        <v>72</v>
      </c>
      <c r="M9">
        <f t="shared" ref="M9:M27" si="13">K8</f>
        <v>66</v>
      </c>
      <c r="N9">
        <f t="shared" ref="N9:N27" si="14">N8+O9</f>
        <v>65</v>
      </c>
      <c r="O9">
        <f t="shared" ref="O9:O27" si="15">ROUND(W9,0)</f>
        <v>7</v>
      </c>
      <c r="Q9">
        <f t="shared" ref="Q9:Q27" si="16">(H8+K8)/(B8+E8+H8+K8)</f>
        <v>0.26037735849056604</v>
      </c>
      <c r="R9">
        <f t="shared" ref="R9:R27" si="17">Q9*B8</f>
        <v>79.675471698113213</v>
      </c>
      <c r="S9">
        <v>84.847759894095361</v>
      </c>
      <c r="T9">
        <f t="shared" si="1"/>
        <v>85</v>
      </c>
      <c r="V9">
        <v>0.10703737441654085</v>
      </c>
      <c r="W9">
        <f t="shared" si="0"/>
        <v>7.0644667114916961</v>
      </c>
    </row>
    <row r="10" spans="1:23" x14ac:dyDescent="0.25">
      <c r="A10">
        <v>8</v>
      </c>
      <c r="B10">
        <f t="shared" si="2"/>
        <v>267</v>
      </c>
      <c r="C10">
        <f t="shared" si="3"/>
        <v>59</v>
      </c>
      <c r="D10">
        <f t="shared" si="4"/>
        <v>99</v>
      </c>
      <c r="E10">
        <f t="shared" si="5"/>
        <v>65</v>
      </c>
      <c r="F10">
        <f t="shared" si="6"/>
        <v>65</v>
      </c>
      <c r="G10">
        <f t="shared" si="7"/>
        <v>59</v>
      </c>
      <c r="H10">
        <f t="shared" si="8"/>
        <v>99</v>
      </c>
      <c r="I10">
        <f t="shared" si="9"/>
        <v>99</v>
      </c>
      <c r="J10">
        <f t="shared" si="10"/>
        <v>85</v>
      </c>
      <c r="K10">
        <f t="shared" si="11"/>
        <v>85</v>
      </c>
      <c r="L10">
        <f t="shared" si="12"/>
        <v>85</v>
      </c>
      <c r="M10">
        <f t="shared" si="13"/>
        <v>72</v>
      </c>
      <c r="N10">
        <f t="shared" si="14"/>
        <v>72</v>
      </c>
      <c r="O10">
        <f t="shared" si="15"/>
        <v>7</v>
      </c>
      <c r="Q10">
        <f t="shared" si="16"/>
        <v>0.30019120458891013</v>
      </c>
      <c r="R10">
        <f t="shared" si="17"/>
        <v>92.158699808795404</v>
      </c>
      <c r="S10">
        <v>99.190101314336061</v>
      </c>
      <c r="T10">
        <f t="shared" si="1"/>
        <v>99</v>
      </c>
      <c r="V10">
        <v>0.10246104718826246</v>
      </c>
      <c r="W10">
        <f t="shared" si="0"/>
        <v>7.3771953975548969</v>
      </c>
    </row>
    <row r="11" spans="1:23" x14ac:dyDescent="0.25">
      <c r="A11">
        <v>9</v>
      </c>
      <c r="B11">
        <f t="shared" si="2"/>
        <v>239</v>
      </c>
      <c r="C11">
        <f t="shared" si="3"/>
        <v>65</v>
      </c>
      <c r="D11">
        <f t="shared" si="4"/>
        <v>93</v>
      </c>
      <c r="E11">
        <f t="shared" si="5"/>
        <v>75</v>
      </c>
      <c r="F11">
        <f t="shared" si="6"/>
        <v>75</v>
      </c>
      <c r="G11">
        <f t="shared" si="7"/>
        <v>65</v>
      </c>
      <c r="H11">
        <f t="shared" si="8"/>
        <v>93</v>
      </c>
      <c r="I11">
        <f t="shared" si="9"/>
        <v>93</v>
      </c>
      <c r="J11">
        <f t="shared" si="10"/>
        <v>99</v>
      </c>
      <c r="K11">
        <f t="shared" si="11"/>
        <v>99</v>
      </c>
      <c r="L11">
        <f t="shared" si="12"/>
        <v>99</v>
      </c>
      <c r="M11">
        <f t="shared" si="13"/>
        <v>85</v>
      </c>
      <c r="N11">
        <f t="shared" si="14"/>
        <v>82</v>
      </c>
      <c r="O11">
        <f t="shared" si="15"/>
        <v>10</v>
      </c>
      <c r="Q11">
        <f t="shared" si="16"/>
        <v>0.35658914728682173</v>
      </c>
      <c r="R11">
        <f t="shared" si="17"/>
        <v>95.209302325581405</v>
      </c>
      <c r="S11">
        <v>93.413464936675155</v>
      </c>
      <c r="T11">
        <f t="shared" si="1"/>
        <v>93</v>
      </c>
      <c r="V11">
        <v>0.11921976036101115</v>
      </c>
      <c r="W11">
        <f t="shared" si="0"/>
        <v>10.133679630685947</v>
      </c>
    </row>
    <row r="12" spans="1:23" x14ac:dyDescent="0.25">
      <c r="A12">
        <v>10</v>
      </c>
      <c r="B12">
        <f t="shared" si="2"/>
        <v>222</v>
      </c>
      <c r="C12">
        <f t="shared" si="3"/>
        <v>75</v>
      </c>
      <c r="D12">
        <f t="shared" si="4"/>
        <v>92</v>
      </c>
      <c r="E12">
        <f t="shared" si="5"/>
        <v>88</v>
      </c>
      <c r="F12">
        <f t="shared" si="6"/>
        <v>88</v>
      </c>
      <c r="G12">
        <f t="shared" si="7"/>
        <v>75</v>
      </c>
      <c r="H12">
        <f t="shared" si="8"/>
        <v>92</v>
      </c>
      <c r="I12">
        <f t="shared" si="9"/>
        <v>92</v>
      </c>
      <c r="J12">
        <f t="shared" si="10"/>
        <v>93</v>
      </c>
      <c r="K12">
        <f t="shared" si="11"/>
        <v>93</v>
      </c>
      <c r="L12">
        <f t="shared" si="12"/>
        <v>93</v>
      </c>
      <c r="M12">
        <f t="shared" si="13"/>
        <v>99</v>
      </c>
      <c r="N12">
        <f t="shared" si="14"/>
        <v>93</v>
      </c>
      <c r="O12">
        <f t="shared" si="15"/>
        <v>11</v>
      </c>
      <c r="Q12">
        <f t="shared" si="16"/>
        <v>0.37944664031620551</v>
      </c>
      <c r="R12">
        <f t="shared" si="17"/>
        <v>90.687747035573111</v>
      </c>
      <c r="S12">
        <v>91.586661599299987</v>
      </c>
      <c r="T12">
        <f t="shared" si="1"/>
        <v>92</v>
      </c>
      <c r="V12">
        <v>0.11540420271339827</v>
      </c>
      <c r="W12">
        <f t="shared" si="0"/>
        <v>11.425016068626428</v>
      </c>
    </row>
    <row r="13" spans="1:23" x14ac:dyDescent="0.25">
      <c r="A13">
        <v>11</v>
      </c>
      <c r="B13">
        <f t="shared" si="2"/>
        <v>220</v>
      </c>
      <c r="C13">
        <f t="shared" si="3"/>
        <v>88</v>
      </c>
      <c r="D13">
        <f t="shared" si="4"/>
        <v>90</v>
      </c>
      <c r="E13">
        <f t="shared" si="5"/>
        <v>84</v>
      </c>
      <c r="F13">
        <f t="shared" si="6"/>
        <v>84</v>
      </c>
      <c r="G13">
        <f t="shared" si="7"/>
        <v>88</v>
      </c>
      <c r="H13">
        <f t="shared" si="8"/>
        <v>90</v>
      </c>
      <c r="I13">
        <f t="shared" si="9"/>
        <v>90</v>
      </c>
      <c r="J13">
        <f t="shared" si="10"/>
        <v>92</v>
      </c>
      <c r="K13">
        <f t="shared" si="11"/>
        <v>92</v>
      </c>
      <c r="L13">
        <f t="shared" si="12"/>
        <v>92</v>
      </c>
      <c r="M13">
        <f t="shared" si="13"/>
        <v>93</v>
      </c>
      <c r="N13">
        <f t="shared" si="14"/>
        <v>102</v>
      </c>
      <c r="O13">
        <f t="shared" si="15"/>
        <v>9</v>
      </c>
      <c r="Q13">
        <f t="shared" si="16"/>
        <v>0.37373737373737376</v>
      </c>
      <c r="R13">
        <f t="shared" si="17"/>
        <v>82.969696969696969</v>
      </c>
      <c r="S13">
        <v>90.429698598571122</v>
      </c>
      <c r="T13">
        <f t="shared" si="1"/>
        <v>90</v>
      </c>
      <c r="V13">
        <v>0.1003603190634749</v>
      </c>
      <c r="W13">
        <f t="shared" si="0"/>
        <v>9.3335096729031655</v>
      </c>
    </row>
    <row r="14" spans="1:23" x14ac:dyDescent="0.25">
      <c r="A14">
        <v>12</v>
      </c>
    </row>
    <row r="15" spans="1:23" x14ac:dyDescent="0.25">
      <c r="A15">
        <v>13</v>
      </c>
    </row>
    <row r="16" spans="1:23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</dc:creator>
  <cp:lastModifiedBy>qwerty</cp:lastModifiedBy>
  <dcterms:created xsi:type="dcterms:W3CDTF">2021-03-09T14:20:13Z</dcterms:created>
  <dcterms:modified xsi:type="dcterms:W3CDTF">2021-03-09T15:19:32Z</dcterms:modified>
</cp:coreProperties>
</file>